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Equipment Register" sheetId="1" r:id="rId1"/>
  </sheets>
  <calcPr/>
</workbook>
</file>

<file path=xl/sharedStrings.xml><?xml version="1.0" encoding="utf-8"?>
<sst xmlns="http://schemas.openxmlformats.org/spreadsheetml/2006/main" uniqueCount="118" count="118">
  <si>
    <t>STAL FABRICATION &amp; GALVANIZING LTD.</t>
  </si>
  <si>
    <t>MASTER LIST OF MEASURING &amp; INSPECTION EQUIPMENT</t>
  </si>
  <si>
    <t>Document No:</t>
  </si>
  <si>
    <t>QMS-ML-001</t>
  </si>
  <si>
    <t>Prepared By:</t>
  </si>
  <si>
    <t>M. Iqbal (QA Eng.)</t>
  </si>
  <si>
    <t>Revision:</t>
  </si>
  <si>
    <t>02</t>
  </si>
  <si>
    <t>Approved By:</t>
  </si>
  <si>
    <t>D. Henderson (Tech Dir.)</t>
  </si>
  <si>
    <t>Effective Date:</t>
  </si>
  <si>
    <t>2026-02-25</t>
  </si>
  <si>
    <t>Note: This register is reviewed quarterly by QA/QC and verified against Calibration Log.</t>
  </si>
  <si>
    <t>Last Reviewed Date:</t>
  </si>
  <si>
    <t>2026-01-15</t>
  </si>
  <si>
    <t>Reviewed By:</t>
  </si>
  <si>
    <t>S. Rahman (QC Lead)</t>
  </si>
  <si>
    <t>Equip ID</t>
  </si>
  <si>
    <t>Equipment Name</t>
  </si>
  <si>
    <t>Category</t>
  </si>
  <si>
    <t>Brand</t>
  </si>
  <si>
    <t>Model</t>
  </si>
  <si>
    <t>Serial No.</t>
  </si>
  <si>
    <t>Range</t>
  </si>
  <si>
    <t>Accuracy</t>
  </si>
  <si>
    <t>Location</t>
  </si>
  <si>
    <t>Dept</t>
  </si>
  <si>
    <t>Cal Req?</t>
  </si>
  <si>
    <t>Last Cal</t>
  </si>
  <si>
    <t>Next Due</t>
  </si>
  <si>
    <t>Days Rem.</t>
  </si>
  <si>
    <t>Status</t>
  </si>
  <si>
    <t>Condition</t>
  </si>
  <si>
    <t>Remarks</t>
  </si>
  <si>
    <t>EQ-001</t>
  </si>
  <si>
    <t>Vernier Caliper</t>
  </si>
  <si>
    <t>Dimensional</t>
  </si>
  <si>
    <t>Mitutoyo</t>
  </si>
  <si>
    <t>500-196</t>
  </si>
  <si>
    <t>2018-VC-092</t>
  </si>
  <si>
    <t>0-150mm</t>
  </si>
  <si>
    <t>+/- 0.02</t>
  </si>
  <si>
    <t>Machine Shop</t>
  </si>
  <si>
    <t>Production</t>
  </si>
  <si>
    <t>Yes</t>
  </si>
  <si>
    <t>2025-08-09</t>
  </si>
  <si>
    <t>2026-08-09</t>
  </si>
  <si>
    <t>Good</t>
  </si>
  <si>
    <t>-</t>
  </si>
  <si>
    <t>EQ-002</t>
  </si>
  <si>
    <t>Digital Micrometer</t>
  </si>
  <si>
    <t>Starrett</t>
  </si>
  <si>
    <t>733.1X</t>
  </si>
  <si>
    <t>SN45721</t>
  </si>
  <si>
    <t>0-25mm</t>
  </si>
  <si>
    <t>+0.001</t>
  </si>
  <si>
    <t>QC Lab</t>
  </si>
  <si>
    <t>QC</t>
  </si>
  <si>
    <t>2025-02-10</t>
  </si>
  <si>
    <t>2026-02-10</t>
  </si>
  <si>
    <t>Calibration overdue - send to lab</t>
  </si>
  <si>
    <t>EQ-003</t>
  </si>
  <si>
    <t>Bridge Cam Gauge</t>
  </si>
  <si>
    <t>Welding Inspection</t>
  </si>
  <si>
    <t>G.A.L</t>
  </si>
  <si>
    <t>WG-1</t>
  </si>
  <si>
    <t>MTG-08</t>
  </si>
  <si>
    <t>Visual</t>
  </si>
  <si>
    <t>Welding Bay</t>
  </si>
  <si>
    <t>No</t>
  </si>
  <si>
    <t>Visual check only</t>
  </si>
  <si>
    <t>EQ-004</t>
  </si>
  <si>
    <t>DFT Coating Gauge</t>
  </si>
  <si>
    <t>Coating</t>
  </si>
  <si>
    <t>Elcometer</t>
  </si>
  <si>
    <t>456</t>
  </si>
  <si>
    <t>45A-2281</t>
  </si>
  <si>
    <t>0-1500um</t>
  </si>
  <si>
    <t>+/- 1%</t>
  </si>
  <si>
    <t>Galvanizing Plant</t>
  </si>
  <si>
    <t>2025-03-22</t>
  </si>
  <si>
    <t>2026-03-22</t>
  </si>
  <si>
    <t>EQ-005</t>
  </si>
  <si>
    <t>UT Thickness Gauge</t>
  </si>
  <si>
    <t>NDT</t>
  </si>
  <si>
    <t>Olympus</t>
  </si>
  <si>
    <t>27MG</t>
  </si>
  <si>
    <t>UT-G-22</t>
  </si>
  <si>
    <t>1-500mm</t>
  </si>
  <si>
    <t>0.01mm</t>
  </si>
  <si>
    <t>2026-01-06</t>
  </si>
  <si>
    <t>2027-01-06</t>
  </si>
  <si>
    <t>EQ-006</t>
  </si>
  <si>
    <t>Heavy Duty Tape (8m)</t>
  </si>
  <si>
    <t>Stanley</t>
  </si>
  <si>
    <t>F-Max</t>
  </si>
  <si>
    <t>7731-XF</t>
  </si>
  <si>
    <t>8m</t>
  </si>
  <si>
    <t>Class II</t>
  </si>
  <si>
    <t>Fab Yard</t>
  </si>
  <si>
    <t>Verification by Master Ruler</t>
  </si>
  <si>
    <t>EQ-007</t>
  </si>
  <si>
    <t>Steel Ruler</t>
  </si>
  <si>
    <t>Shinwa</t>
  </si>
  <si>
    <t>1000mm</t>
  </si>
  <si>
    <t>RUL-100-S</t>
  </si>
  <si>
    <t>Marking Area</t>
  </si>
  <si>
    <t>Under Repair</t>
  </si>
  <si>
    <t>Bent - sent for leveling</t>
  </si>
  <si>
    <t>EQ-008</t>
  </si>
  <si>
    <t>Surface Profile Gauge</t>
  </si>
  <si>
    <t>E122</t>
  </si>
  <si>
    <t>99-01-ELC</t>
  </si>
  <si>
    <t>Digital</t>
  </si>
  <si>
    <t>5um</t>
  </si>
  <si>
    <t>2026-02-15</t>
  </si>
  <si>
    <t>2027-02-15</t>
  </si>
  <si>
    <t>PT. BAGJA MULIA TECHNOLOGIES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</si>
</sst>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yyyy-mm-dd"/>
  </numFmts>
  <fonts count="7">
    <font>
      <name val="Calibri"/>
      <sz val="11"/>
    </font>
    <font>
      <name val="Calibri"/>
      <b/>
      <sz val="14"/>
      <color rgb="FF000000"/>
    </font>
    <font>
      <name val="Calibri"/>
      <sz val="11"/>
    </font>
    <font>
      <name val="Calibri"/>
      <b/>
      <sz val="9"/>
      <color rgb="FF000000"/>
    </font>
    <font>
      <name val="Calibri"/>
      <sz val="9"/>
      <color rgb="FF000000"/>
    </font>
    <font>
      <name val="Calibri"/>
      <i/>
      <sz val="9"/>
      <color rgb="FF404040"/>
    </font>
    <font>
      <name val="Calibri"/>
      <b/>
      <sz val="9"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5F5F5"/>
        <bgColor rgb="FFF5F5F5"/>
      </patternFill>
    </fill>
    <fill>
      <patternFill patternType="solid">
        <fgColor rgb="FF333333"/>
        <bgColor rgb="FF33333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bottom"/>
    </xf>
    <xf numFmtId="0" fontId="2" fillId="0" borderId="3" xfId="0" applyFont="1" applyBorder="1" applyAlignment="1">
      <alignment vertical="bottom"/>
    </xf>
    <xf numFmtId="0" fontId="3" fillId="3" borderId="4" xfId="0" applyFont="1" applyFill="1" applyBorder="1" applyAlignment="1">
      <alignment vertical="bottom"/>
    </xf>
    <xf numFmtId="0" fontId="4" fillId="0" borderId="4" xfId="0" applyFont="1" applyBorder="1" applyAlignment="1">
      <alignment horizontal="left" vertical="bottom"/>
    </xf>
    <xf numFmtId="0" fontId="5" fillId="0" borderId="0" xfId="0" applyFont="1" applyAlignment="1">
      <alignment vertical="bottom"/>
    </xf>
    <xf numFmtId="0" fontId="6" fillId="4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bottom"/>
    </xf>
    <xf numFmtId="0" fontId="4" fillId="0" borderId="4" xfId="0" applyFont="1" applyBorder="1" applyAlignment="1">
      <alignment vertical="bottom"/>
    </xf>
    <xf numFmtId="164" fontId="4" fillId="0" borderId="4" xfId="0" applyNumberFormat="1" applyFont="1" applyBorder="1" applyAlignment="1">
      <alignment horizontal="center" vertical="bottom"/>
    </xf>
  </cellXfs>
  <cellStyles count="1">
    <cellStyle name="常规" xfId="0" builtinId="0"/>
  </cellStyles>
  <dxfs count="4">
    <dxf>
      <font>
        <b/>
        <color rgb="FF9C0006"/>
      </font>
      <fill>
        <patternFill patternType="solid">
          <fgColor rgb="FFFFC7CE"/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b/>
        <color rgb="FF9C6500"/>
      </font>
      <fill>
        <patternFill patternType="solid">
          <fgColor rgb="FFFFEB9C"/>
          <bgColor rgb="FFFFEB9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color rgb="FF7F7F7F"/>
      </font>
      <fill>
        <patternFill patternType="solid">
          <fgColor rgb="FFF2F2F2"/>
          <bgColor rgb="FFF2F2F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R19"/>
  <sheetViews>
    <sheetView workbookViewId="0" zoomScale="42">
      <selection activeCell="B22" sqref="B22"/>
    </sheetView>
  </sheetViews>
  <sheetFormatPr defaultRowHeight="15.0" customHeight="1" defaultColWidth="14"/>
  <cols>
    <col min="1" max="1" customWidth="1" width="10.707031" style="0"/>
    <col min="2" max="2" customWidth="1" width="22.707031" style="0"/>
    <col min="3" max="3" customWidth="1" width="18.707031" style="0"/>
    <col min="4" max="5" customWidth="1" width="12.707031" style="0"/>
    <col min="6" max="6" customWidth="1" width="14.707031" style="0"/>
    <col min="7" max="8" customWidth="1" width="12.707031" style="0"/>
    <col min="9" max="9" customWidth="1" width="16.707031" style="0"/>
    <col min="10" max="11" customWidth="1" width="10.707031" style="0"/>
    <col min="12" max="13" customWidth="1" width="11.707031" style="0"/>
    <col min="14" max="14" customWidth="1" width="10.707031" style="0"/>
    <col min="15" max="15" customWidth="1" width="14.707031" style="0"/>
    <col min="16" max="16" customWidth="1" width="13.707031" style="0"/>
    <col min="17" max="17" customWidth="1" width="24.289062" style="0"/>
    <col min="18" max="26" customWidth="1" width="8.707031" style="0"/>
  </cols>
  <sheetData>
    <row r="1" spans="8:8" ht="19.2">
      <c r="A1" s="1" t="s">
        <v>117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8:8" ht="19.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4" spans="8:8" ht="15.0">
      <c r="A4" s="4" t="s">
        <v>2</v>
      </c>
      <c r="B4" s="5" t="s">
        <v>3</v>
      </c>
      <c r="E4" s="4" t="s">
        <v>4</v>
      </c>
      <c r="F4" s="5" t="s">
        <v>5</v>
      </c>
    </row>
    <row r="5" spans="8:8" ht="15.0">
      <c r="A5" s="4" t="s">
        <v>6</v>
      </c>
      <c r="B5" s="5" t="s">
        <v>7</v>
      </c>
      <c r="E5" s="4" t="s">
        <v>8</v>
      </c>
      <c r="F5" s="5" t="s">
        <v>9</v>
      </c>
    </row>
    <row r="6" spans="8:8" ht="15.0">
      <c r="A6" s="4" t="s">
        <v>10</v>
      </c>
      <c r="B6" s="5" t="s">
        <v>11</v>
      </c>
    </row>
    <row r="8" spans="8:8" ht="15.0">
      <c r="A8" s="6" t="s">
        <v>12</v>
      </c>
    </row>
    <row r="9" spans="8:8" ht="15.0">
      <c r="A9" s="4" t="s">
        <v>13</v>
      </c>
      <c r="B9" s="5" t="s">
        <v>14</v>
      </c>
      <c r="E9" s="4" t="s">
        <v>15</v>
      </c>
      <c r="F9" s="5" t="s">
        <v>16</v>
      </c>
    </row>
    <row r="11" spans="8:8" ht="15.0">
      <c r="A11" s="7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</row>
    <row r="12" spans="8:8" ht="15.0">
      <c r="A12" s="8" t="s">
        <v>34</v>
      </c>
      <c r="B12" s="9" t="s">
        <v>35</v>
      </c>
      <c r="C12" s="8" t="s">
        <v>36</v>
      </c>
      <c r="D12" s="9" t="s">
        <v>37</v>
      </c>
      <c r="E12" s="8" t="s">
        <v>38</v>
      </c>
      <c r="F12" s="8" t="s">
        <v>39</v>
      </c>
      <c r="G12" s="8" t="s">
        <v>40</v>
      </c>
      <c r="H12" s="8" t="s">
        <v>41</v>
      </c>
      <c r="I12" s="9" t="s">
        <v>42</v>
      </c>
      <c r="J12" s="8" t="s">
        <v>43</v>
      </c>
      <c r="K12" s="8" t="s">
        <v>44</v>
      </c>
      <c r="L12" s="10" t="s">
        <v>45</v>
      </c>
      <c r="M12" s="10" t="s">
        <v>46</v>
      </c>
      <c r="N12" s="8">
        <f t="shared" si="0" ref="N12:N19">IF(M12="-","",INT(M12-TODAY()))</f>
        <v>150.0</v>
      </c>
      <c r="O12" s="8" t="str">
        <f t="shared" si="1" ref="O12:O19">IF(K12="No","NOT REQUIRED",IF(N12="","",IF(N12&lt;0,"OVERDUE",IF(N12&lt;=30,"DUE SOON","VALID"))))</f>
        <v>VALID</v>
      </c>
      <c r="P12" s="8" t="s">
        <v>47</v>
      </c>
      <c r="Q12" s="9" t="s">
        <v>48</v>
      </c>
    </row>
    <row r="13" spans="8:8" ht="15.0">
      <c r="A13" s="8" t="s">
        <v>49</v>
      </c>
      <c r="B13" s="9" t="s">
        <v>50</v>
      </c>
      <c r="C13" s="8" t="s">
        <v>36</v>
      </c>
      <c r="D13" s="9" t="s">
        <v>51</v>
      </c>
      <c r="E13" s="8" t="s">
        <v>52</v>
      </c>
      <c r="F13" s="8" t="s">
        <v>53</v>
      </c>
      <c r="G13" s="8" t="s">
        <v>54</v>
      </c>
      <c r="H13" s="8" t="s">
        <v>55</v>
      </c>
      <c r="I13" s="9" t="s">
        <v>56</v>
      </c>
      <c r="J13" s="8" t="s">
        <v>57</v>
      </c>
      <c r="K13" s="8" t="s">
        <v>44</v>
      </c>
      <c r="L13" s="10" t="s">
        <v>58</v>
      </c>
      <c r="M13" s="10" t="s">
        <v>59</v>
      </c>
      <c r="N13" s="8">
        <f t="shared" si="0"/>
        <v>-30.0</v>
      </c>
      <c r="O13" s="8" t="str">
        <f t="shared" si="1"/>
        <v>OVERDUE</v>
      </c>
      <c r="P13" s="8" t="s">
        <v>47</v>
      </c>
      <c r="Q13" s="9" t="s">
        <v>60</v>
      </c>
    </row>
    <row r="14" spans="8:8" ht="15.0">
      <c r="A14" s="8" t="s">
        <v>61</v>
      </c>
      <c r="B14" s="9" t="s">
        <v>62</v>
      </c>
      <c r="C14" s="8" t="s">
        <v>63</v>
      </c>
      <c r="D14" s="9" t="s">
        <v>64</v>
      </c>
      <c r="E14" s="8" t="s">
        <v>65</v>
      </c>
      <c r="F14" s="8" t="s">
        <v>66</v>
      </c>
      <c r="G14" s="8" t="s">
        <v>54</v>
      </c>
      <c r="H14" s="8" t="s">
        <v>67</v>
      </c>
      <c r="I14" s="9" t="s">
        <v>68</v>
      </c>
      <c r="J14" s="8" t="s">
        <v>57</v>
      </c>
      <c r="K14" s="8" t="s">
        <v>69</v>
      </c>
      <c r="L14" s="8" t="s">
        <v>48</v>
      </c>
      <c r="M14" s="8" t="s">
        <v>48</v>
      </c>
      <c r="N14" s="8" t="str">
        <f t="shared" si="0"/>
        <v/>
      </c>
      <c r="O14" s="8" t="str">
        <f t="shared" si="1"/>
        <v>NOT REQUIRED</v>
      </c>
      <c r="P14" s="8" t="s">
        <v>47</v>
      </c>
      <c r="Q14" s="9" t="s">
        <v>70</v>
      </c>
    </row>
    <row r="15" spans="8:8" ht="15.0">
      <c r="A15" s="8" t="s">
        <v>71</v>
      </c>
      <c r="B15" s="9" t="s">
        <v>72</v>
      </c>
      <c r="C15" s="8" t="s">
        <v>73</v>
      </c>
      <c r="D15" s="9" t="s">
        <v>74</v>
      </c>
      <c r="E15" s="8" t="s">
        <v>75</v>
      </c>
      <c r="F15" s="8" t="s">
        <v>76</v>
      </c>
      <c r="G15" s="8" t="s">
        <v>77</v>
      </c>
      <c r="H15" s="8" t="s">
        <v>78</v>
      </c>
      <c r="I15" s="9" t="s">
        <v>79</v>
      </c>
      <c r="J15" s="8" t="s">
        <v>57</v>
      </c>
      <c r="K15" s="8" t="s">
        <v>44</v>
      </c>
      <c r="L15" s="10" t="s">
        <v>80</v>
      </c>
      <c r="M15" s="10" t="s">
        <v>81</v>
      </c>
      <c r="N15" s="8">
        <f t="shared" si="0"/>
        <v>10.0</v>
      </c>
      <c r="O15" s="8" t="str">
        <f t="shared" si="1"/>
        <v>DUE SOON</v>
      </c>
      <c r="P15" s="8" t="s">
        <v>47</v>
      </c>
      <c r="Q15" s="9" t="s">
        <v>48</v>
      </c>
    </row>
    <row r="16" spans="8:8" ht="15.0">
      <c r="A16" s="8" t="s">
        <v>82</v>
      </c>
      <c r="B16" s="9" t="s">
        <v>83</v>
      </c>
      <c r="C16" s="8" t="s">
        <v>84</v>
      </c>
      <c r="D16" s="9" t="s">
        <v>85</v>
      </c>
      <c r="E16" s="8" t="s">
        <v>86</v>
      </c>
      <c r="F16" s="8" t="s">
        <v>87</v>
      </c>
      <c r="G16" s="8" t="s">
        <v>88</v>
      </c>
      <c r="H16" s="8" t="s">
        <v>89</v>
      </c>
      <c r="I16" s="9" t="s">
        <v>56</v>
      </c>
      <c r="J16" s="8" t="s">
        <v>57</v>
      </c>
      <c r="K16" s="8" t="s">
        <v>44</v>
      </c>
      <c r="L16" s="10" t="s">
        <v>90</v>
      </c>
      <c r="M16" s="10" t="s">
        <v>91</v>
      </c>
      <c r="N16" s="8">
        <f t="shared" si="0"/>
        <v>300.0</v>
      </c>
      <c r="O16" s="8" t="str">
        <f t="shared" si="1"/>
        <v>VALID</v>
      </c>
      <c r="P16" s="8" t="s">
        <v>47</v>
      </c>
      <c r="Q16" s="9" t="s">
        <v>48</v>
      </c>
    </row>
    <row r="17" spans="8:8" ht="15.0">
      <c r="A17" s="8" t="s">
        <v>92</v>
      </c>
      <c r="B17" s="9" t="s">
        <v>93</v>
      </c>
      <c r="C17" s="8" t="s">
        <v>36</v>
      </c>
      <c r="D17" s="9" t="s">
        <v>94</v>
      </c>
      <c r="E17" s="8" t="s">
        <v>95</v>
      </c>
      <c r="F17" s="8" t="s">
        <v>96</v>
      </c>
      <c r="G17" s="8" t="s">
        <v>97</v>
      </c>
      <c r="H17" s="8" t="s">
        <v>98</v>
      </c>
      <c r="I17" s="9" t="s">
        <v>99</v>
      </c>
      <c r="J17" s="8" t="s">
        <v>43</v>
      </c>
      <c r="K17" s="8" t="s">
        <v>69</v>
      </c>
      <c r="L17" s="8" t="s">
        <v>48</v>
      </c>
      <c r="M17" s="8" t="s">
        <v>48</v>
      </c>
      <c r="N17" s="8" t="str">
        <f t="shared" si="0"/>
        <v/>
      </c>
      <c r="O17" s="8" t="str">
        <f t="shared" si="1"/>
        <v>NOT REQUIRED</v>
      </c>
      <c r="P17" s="8" t="s">
        <v>47</v>
      </c>
      <c r="Q17" s="9" t="s">
        <v>100</v>
      </c>
    </row>
    <row r="18" spans="8:8" ht="15.0">
      <c r="A18" s="8" t="s">
        <v>101</v>
      </c>
      <c r="B18" s="9" t="s">
        <v>102</v>
      </c>
      <c r="C18" s="8" t="s">
        <v>36</v>
      </c>
      <c r="D18" s="9" t="s">
        <v>103</v>
      </c>
      <c r="E18" s="8" t="s">
        <v>104</v>
      </c>
      <c r="F18" s="8" t="s">
        <v>105</v>
      </c>
      <c r="G18" s="8" t="s">
        <v>104</v>
      </c>
      <c r="H18" s="8" t="s">
        <v>98</v>
      </c>
      <c r="I18" s="9" t="s">
        <v>106</v>
      </c>
      <c r="J18" s="8" t="s">
        <v>43</v>
      </c>
      <c r="K18" s="8" t="s">
        <v>69</v>
      </c>
      <c r="L18" s="8" t="s">
        <v>48</v>
      </c>
      <c r="M18" s="8" t="s">
        <v>48</v>
      </c>
      <c r="N18" s="8" t="str">
        <f t="shared" si="0"/>
        <v/>
      </c>
      <c r="O18" s="8" t="str">
        <f t="shared" si="1"/>
        <v>NOT REQUIRED</v>
      </c>
      <c r="P18" s="8" t="s">
        <v>107</v>
      </c>
      <c r="Q18" s="9" t="s">
        <v>108</v>
      </c>
    </row>
    <row r="19" spans="8:8" ht="15.0">
      <c r="A19" s="8" t="s">
        <v>109</v>
      </c>
      <c r="B19" s="9" t="s">
        <v>110</v>
      </c>
      <c r="C19" s="8" t="s">
        <v>73</v>
      </c>
      <c r="D19" s="9" t="s">
        <v>74</v>
      </c>
      <c r="E19" s="8" t="s">
        <v>111</v>
      </c>
      <c r="F19" s="8" t="s">
        <v>112</v>
      </c>
      <c r="G19" s="8" t="s">
        <v>113</v>
      </c>
      <c r="H19" s="8" t="s">
        <v>114</v>
      </c>
      <c r="I19" s="9" t="s">
        <v>79</v>
      </c>
      <c r="J19" s="8" t="s">
        <v>57</v>
      </c>
      <c r="K19" s="8" t="s">
        <v>44</v>
      </c>
      <c r="L19" s="10" t="s">
        <v>115</v>
      </c>
      <c r="M19" s="10" t="s">
        <v>116</v>
      </c>
      <c r="N19" s="8">
        <f t="shared" si="0"/>
        <v>340.0</v>
      </c>
      <c r="O19" s="8" t="str">
        <f t="shared" si="1"/>
        <v>VALID</v>
      </c>
      <c r="P19" s="8" t="s">
        <v>47</v>
      </c>
      <c r="Q19" s="9" t="s">
        <v>48</v>
      </c>
    </row>
    <row r="21" spans="8:8" ht="15.75" customHeight="1"/>
    <row r="22" spans="8:8" ht="15.75" customHeight="1"/>
    <row r="23" spans="8:8" ht="15.75" customHeight="1"/>
    <row r="24" spans="8:8" ht="15.75" customHeight="1"/>
    <row r="25" spans="8:8" ht="15.75" customHeight="1"/>
    <row r="26" spans="8:8" ht="15.75" customHeight="1"/>
    <row r="27" spans="8:8" ht="15.75" customHeight="1"/>
    <row r="28" spans="8:8" ht="15.75" customHeight="1"/>
    <row r="29" spans="8:8" ht="15.75" customHeight="1"/>
    <row r="30" spans="8:8" ht="15.75" customHeight="1"/>
    <row r="31" spans="8:8" ht="15.75" customHeight="1"/>
    <row r="32" spans="8:8" ht="15.75" customHeight="1"/>
    <row r="33" spans="8:8" ht="15.75" customHeight="1"/>
    <row r="34" spans="8:8" ht="15.75" customHeight="1"/>
    <row r="35" spans="8:8" ht="15.75" customHeight="1"/>
    <row r="36" spans="8:8" ht="15.75" customHeight="1"/>
    <row r="37" spans="8:8" ht="15.75" customHeight="1"/>
    <row r="38" spans="8:8" ht="15.75" customHeight="1"/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  <row r="101" spans="8:8" ht="15.75" customHeight="1"/>
    <row r="102" spans="8:8" ht="15.75" customHeight="1"/>
    <row r="103" spans="8:8" ht="15.75" customHeight="1"/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spans="8:8" ht="15.75" customHeight="1"/>
    <row r="114" spans="8:8" ht="15.75" customHeight="1"/>
    <row r="115" spans="8:8" ht="15.75" customHeight="1"/>
    <row r="116" spans="8:8" ht="15.75" customHeight="1"/>
    <row r="117" spans="8:8" ht="15.75" customHeight="1"/>
    <row r="118" spans="8:8" ht="15.75" customHeight="1"/>
    <row r="119" spans="8:8" ht="15.75" customHeight="1"/>
    <row r="120" spans="8:8" ht="15.75" customHeight="1"/>
    <row r="121" spans="8:8" ht="15.75" customHeight="1"/>
    <row r="122" spans="8:8" ht="15.75" customHeight="1"/>
    <row r="123" spans="8:8" ht="15.75" customHeight="1"/>
    <row r="124" spans="8:8" ht="15.75" customHeight="1"/>
    <row r="125" spans="8:8" ht="15.75" customHeight="1"/>
    <row r="126" spans="8:8" ht="15.75" customHeight="1"/>
    <row r="127" spans="8:8" ht="15.75" customHeight="1"/>
    <row r="128" spans="8:8" ht="15.75" customHeight="1"/>
    <row r="129" spans="8:8" ht="15.75" customHeight="1"/>
    <row r="130" spans="8:8" ht="15.75" customHeight="1"/>
    <row r="131" spans="8:8" ht="15.75" customHeight="1"/>
    <row r="132" spans="8:8" ht="15.75" customHeight="1"/>
    <row r="133" spans="8:8" ht="15.75" customHeight="1"/>
    <row r="134" spans="8:8" ht="15.75" customHeight="1"/>
    <row r="135" spans="8:8" ht="15.75" customHeight="1"/>
    <row r="136" spans="8:8" ht="15.75" customHeight="1"/>
    <row r="137" spans="8:8" ht="15.75" customHeight="1"/>
    <row r="138" spans="8:8" ht="15.75" customHeight="1"/>
    <row r="139" spans="8:8" ht="15.75" customHeight="1"/>
    <row r="140" spans="8:8" ht="15.75" customHeight="1"/>
    <row r="141" spans="8:8" ht="15.75" customHeight="1"/>
    <row r="142" spans="8:8" ht="15.75" customHeight="1"/>
    <row r="143" spans="8:8" ht="15.75" customHeight="1"/>
    <row r="144" spans="8:8" ht="15.75" customHeight="1"/>
    <row r="145" spans="8:8" ht="15.75" customHeight="1"/>
    <row r="146" spans="8:8" ht="15.75" customHeight="1"/>
    <row r="147" spans="8:8" ht="15.75" customHeight="1"/>
    <row r="148" spans="8:8" ht="15.75" customHeight="1"/>
    <row r="149" spans="8:8" ht="15.75" customHeight="1"/>
    <row r="150" spans="8:8" ht="15.75" customHeight="1"/>
    <row r="151" spans="8:8" ht="15.75" customHeight="1"/>
    <row r="152" spans="8:8" ht="15.75" customHeight="1"/>
    <row r="153" spans="8:8" ht="15.75" customHeight="1"/>
    <row r="154" spans="8:8" ht="15.75" customHeight="1"/>
    <row r="155" spans="8:8" ht="15.75" customHeight="1"/>
    <row r="156" spans="8:8" ht="15.75" customHeight="1"/>
    <row r="157" spans="8:8" ht="15.75" customHeight="1"/>
    <row r="158" spans="8:8" ht="15.75" customHeight="1"/>
    <row r="159" spans="8:8" ht="15.75" customHeight="1"/>
    <row r="160" spans="8:8" ht="15.75" customHeight="1"/>
    <row r="161" spans="8:8" ht="15.75" customHeight="1"/>
    <row r="162" spans="8:8" ht="15.75" customHeight="1"/>
    <row r="163" spans="8:8" ht="15.75" customHeight="1"/>
    <row r="164" spans="8:8" ht="15.75" customHeight="1"/>
    <row r="165" spans="8:8" ht="15.75" customHeight="1"/>
    <row r="166" spans="8:8" ht="15.75" customHeight="1"/>
    <row r="167" spans="8:8" ht="15.75" customHeight="1"/>
    <row r="168" spans="8:8" ht="15.75" customHeight="1"/>
    <row r="169" spans="8:8" ht="15.75" customHeight="1"/>
    <row r="170" spans="8:8" ht="15.75" customHeight="1"/>
    <row r="171" spans="8:8" ht="15.75" customHeight="1"/>
    <row r="172" spans="8:8" ht="15.75" customHeight="1"/>
    <row r="173" spans="8:8" ht="15.75" customHeight="1"/>
    <row r="174" spans="8:8" ht="15.75" customHeight="1"/>
    <row r="175" spans="8:8" ht="15.75" customHeight="1"/>
    <row r="176" spans="8:8" ht="15.75" customHeight="1"/>
    <row r="177" spans="8:8" ht="15.75" customHeight="1"/>
    <row r="178" spans="8:8" ht="15.75" customHeight="1"/>
    <row r="179" spans="8:8" ht="15.75" customHeight="1"/>
    <row r="180" spans="8:8" ht="15.75" customHeight="1"/>
    <row r="181" spans="8:8" ht="15.75" customHeight="1"/>
    <row r="182" spans="8:8" ht="15.75" customHeight="1"/>
    <row r="183" spans="8:8" ht="15.75" customHeight="1"/>
    <row r="184" spans="8:8" ht="15.75" customHeight="1"/>
    <row r="185" spans="8:8" ht="15.75" customHeight="1"/>
    <row r="186" spans="8:8" ht="15.75" customHeight="1"/>
    <row r="187" spans="8:8" ht="15.75" customHeight="1"/>
    <row r="188" spans="8:8" ht="15.75" customHeight="1"/>
    <row r="189" spans="8:8" ht="15.75" customHeight="1"/>
    <row r="190" spans="8:8" ht="15.75" customHeight="1"/>
    <row r="191" spans="8:8" ht="15.75" customHeight="1"/>
    <row r="192" spans="8:8" ht="15.75" customHeight="1"/>
    <row r="193" spans="8:8" ht="15.75" customHeight="1"/>
    <row r="194" spans="8:8" ht="15.75" customHeight="1"/>
    <row r="195" spans="8:8" ht="15.75" customHeight="1"/>
    <row r="196" spans="8:8" ht="15.75" customHeight="1"/>
    <row r="197" spans="8:8" ht="15.75" customHeight="1"/>
    <row r="198" spans="8:8" ht="15.75" customHeight="1"/>
    <row r="199" spans="8:8" ht="15.75" customHeight="1"/>
    <row r="200" spans="8:8" ht="15.75" customHeight="1"/>
    <row r="201" spans="8:8" ht="15.75" customHeight="1"/>
    <row r="202" spans="8:8" ht="15.75" customHeight="1"/>
    <row r="203" spans="8:8" ht="15.75" customHeight="1"/>
    <row r="204" spans="8:8" ht="15.75" customHeight="1"/>
    <row r="205" spans="8:8" ht="15.75" customHeight="1"/>
    <row r="206" spans="8:8" ht="15.75" customHeight="1"/>
    <row r="207" spans="8:8" ht="15.75" customHeight="1"/>
    <row r="208" spans="8:8" ht="15.75" customHeight="1"/>
    <row r="209" spans="8:8" ht="15.75" customHeight="1"/>
    <row r="210" spans="8:8" ht="15.75" customHeight="1"/>
    <row r="211" spans="8:8" ht="15.75" customHeight="1"/>
    <row r="212" spans="8:8" ht="15.75" customHeight="1"/>
    <row r="213" spans="8:8" ht="15.75" customHeight="1"/>
    <row r="214" spans="8:8" ht="15.75" customHeight="1"/>
    <row r="215" spans="8:8" ht="15.75" customHeight="1"/>
    <row r="216" spans="8:8" ht="15.75" customHeight="1"/>
    <row r="217" spans="8:8" ht="15.75" customHeight="1"/>
    <row r="218" spans="8:8" ht="15.75" customHeight="1"/>
    <row r="219" spans="8:8" ht="15.75" customHeight="1"/>
    <row r="220" spans="8:8" ht="15.75" customHeight="1"/>
    <row r="221" spans="8:8" ht="15.75" customHeight="1"/>
    <row r="222" spans="8:8" ht="15.75" customHeight="1"/>
    <row r="223" spans="8:8" ht="15.75" customHeight="1"/>
    <row r="224" spans="8:8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/>
    <row r="238" spans="8:8" ht="15.75" customHeight="1"/>
    <row r="239" spans="8:8" ht="15.75" customHeight="1"/>
    <row r="240" spans="8:8" ht="15.75" customHeight="1"/>
    <row r="241" spans="8:8" ht="15.75" customHeight="1"/>
    <row r="242" spans="8:8" ht="15.75" customHeight="1"/>
    <row r="243" spans="8:8" ht="15.75" customHeight="1"/>
    <row r="244" spans="8:8" ht="15.75" customHeight="1"/>
    <row r="245" spans="8:8" ht="15.75" customHeight="1"/>
    <row r="246" spans="8:8" ht="15.75" customHeight="1"/>
    <row r="247" spans="8:8" ht="15.75" customHeight="1"/>
    <row r="248" spans="8:8" ht="15.75" customHeight="1"/>
    <row r="249" spans="8:8" ht="15.75" customHeight="1"/>
    <row r="250" spans="8:8" ht="15.75" customHeight="1"/>
    <row r="251" spans="8:8" ht="15.75" customHeight="1"/>
    <row r="252" spans="8:8" ht="15.75" customHeight="1"/>
    <row r="253" spans="8:8" ht="15.75" customHeight="1"/>
    <row r="254" spans="8:8" ht="15.75" customHeight="1"/>
    <row r="255" spans="8:8" ht="15.75" customHeight="1"/>
    <row r="256" spans="8:8" ht="15.75" customHeight="1"/>
    <row r="257" spans="8:8" ht="15.75" customHeight="1"/>
    <row r="258" spans="8:8" ht="15.75" customHeight="1"/>
    <row r="259" spans="8:8" ht="15.75" customHeight="1"/>
    <row r="260" spans="8:8" ht="15.75" customHeight="1"/>
    <row r="261" spans="8:8" ht="15.75" customHeight="1"/>
    <row r="262" spans="8:8" ht="15.75" customHeight="1"/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  <row r="273" spans="8:8" ht="15.75" customHeight="1"/>
    <row r="274" spans="8:8" ht="15.75" customHeight="1"/>
    <row r="275" spans="8:8" ht="15.75" customHeight="1"/>
    <row r="276" spans="8:8" ht="15.75" customHeight="1"/>
    <row r="277" spans="8:8" ht="15.75" customHeight="1"/>
    <row r="278" spans="8:8" ht="15.75" customHeight="1"/>
    <row r="279" spans="8:8" ht="15.75" customHeight="1"/>
    <row r="280" spans="8:8" ht="15.75" customHeight="1"/>
    <row r="281" spans="8:8" ht="15.75" customHeight="1"/>
    <row r="282" spans="8:8" ht="15.75" customHeight="1"/>
    <row r="283" spans="8:8" ht="15.75" customHeight="1"/>
    <row r="284" spans="8:8" ht="15.75" customHeight="1"/>
    <row r="285" spans="8:8" ht="15.75" customHeight="1"/>
    <row r="286" spans="8:8" ht="15.75" customHeight="1"/>
    <row r="287" spans="8:8" ht="15.75" customHeight="1"/>
    <row r="288" spans="8:8" ht="15.75" customHeight="1"/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  <row r="998" spans="8:8" ht="15.75" customHeight="1"/>
    <row r="999" spans="8:8" ht="15.75" customHeight="1"/>
    <row r="1000" spans="8:8" ht="15.75" customHeight="1"/>
  </sheetData>
  <mergeCells count="2">
    <mergeCell ref="A1:Q1"/>
    <mergeCell ref="A2:Q2"/>
  </mergeCells>
  <conditionalFormatting sqref="O12:O1000">
    <cfRule type="cellIs" operator="equal" priority="1" dxfId="0">
      <formula>"OVERDUE"</formula>
    </cfRule>
    <cfRule type="cellIs" operator="equal" priority="3" dxfId="1">
      <formula>"VALID"</formula>
    </cfRule>
    <cfRule type="cellIs" operator="equal" priority="2" dxfId="2">
      <formula>"DUE SOON"</formula>
    </cfRule>
    <cfRule type="cellIs" operator="equal" priority="4" dxfId="3">
      <formula>"NOT REQUIRED"</formula>
    </cfRule>
  </conditionalFormatting>
  <pageMargins left="0.7" right="0.7" top="0.75" bottom="0.75" header="0.0" footer="0.0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SM-A536E</dc:creator>
  <dcterms:created xsi:type="dcterms:W3CDTF">2026-02-24T19:12:59Z</dcterms:created>
  <dcterms:modified xsi:type="dcterms:W3CDTF">2026-03-12T00:10:19Z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71e7e6c1a3f24093ab2de29f50b96008</vt:lpwstr>
  </property>
</Properties>
</file>