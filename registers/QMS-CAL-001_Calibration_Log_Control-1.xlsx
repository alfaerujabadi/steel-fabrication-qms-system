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 Register" sheetId="1" r:id="rId1"/>
    <sheet name="Calibration Due Summary" sheetId="2" r:id="rId2"/>
    <sheet name="Calibration History" sheetId="3" r:id="rId3"/>
  </sheets>
  <calcPr calcId="124519" fullCalcOnLoad="1"/>
</workbook>
</file>

<file path=xl/sharedStrings.xml><?xml version="1.0" encoding="utf-8"?>
<sst xmlns="http://schemas.openxmlformats.org/spreadsheetml/2006/main" count="161" uniqueCount="93">
  <si>
    <t>STAL FABRICATION &amp; GALVANIZING LTD.</t>
  </si>
  <si>
    <t>CALIBRATION REGISTER (ACTIVE CONTROL)</t>
  </si>
  <si>
    <t>Document No:</t>
  </si>
  <si>
    <t>QMS-CAL-001</t>
  </si>
  <si>
    <t>Revision:</t>
  </si>
  <si>
    <t>03 (Revised)</t>
  </si>
  <si>
    <t>Effective Date:</t>
  </si>
  <si>
    <t>2026-02-25</t>
  </si>
  <si>
    <t>Prepared By:</t>
  </si>
  <si>
    <t>M. Iqbal (QA Eng.)</t>
  </si>
  <si>
    <t>Reviewed By:</t>
  </si>
  <si>
    <t>S. Rahman (QC Lead)</t>
  </si>
  <si>
    <t>Approved By:</t>
  </si>
  <si>
    <t>D. Henderson (Tech Dir.)</t>
  </si>
  <si>
    <t>Note: Calibration records verified against Master Equipment Register (QMS-ML-001).</t>
  </si>
  <si>
    <t>Last Reviewed:</t>
  </si>
  <si>
    <t>2026-02-20</t>
  </si>
  <si>
    <t>Equip ID</t>
  </si>
  <si>
    <t>Equipment Name</t>
  </si>
  <si>
    <t>Location</t>
  </si>
  <si>
    <t>Cal Req?</t>
  </si>
  <si>
    <t>Freq (Mo)</t>
  </si>
  <si>
    <t>Last Cal</t>
  </si>
  <si>
    <t>Next Due</t>
  </si>
  <si>
    <t>Days Rem.</t>
  </si>
  <si>
    <t>Status</t>
  </si>
  <si>
    <t>Performed By</t>
  </si>
  <si>
    <t>Cert No.</t>
  </si>
  <si>
    <t>Remarks</t>
  </si>
  <si>
    <t>EQ-001</t>
  </si>
  <si>
    <t>Vernier Caliper</t>
  </si>
  <si>
    <t>Machine Shop</t>
  </si>
  <si>
    <t>Yes</t>
  </si>
  <si>
    <t>2025-08-15</t>
  </si>
  <si>
    <t>2026-08-15</t>
  </si>
  <si>
    <t>Metrology Svcs</t>
  </si>
  <si>
    <t>CERT-8821</t>
  </si>
  <si>
    <t>-</t>
  </si>
  <si>
    <t>EQ-002</t>
  </si>
  <si>
    <t>Digital Micrometer</t>
  </si>
  <si>
    <t>QC Lab</t>
  </si>
  <si>
    <t>2025-02-10</t>
  </si>
  <si>
    <t>2026-02-10</t>
  </si>
  <si>
    <t>CERT-5592</t>
  </si>
  <si>
    <t>Booking collection for lab</t>
  </si>
  <si>
    <t>EQ-004</t>
  </si>
  <si>
    <t>DFT Coating Gauge</t>
  </si>
  <si>
    <t>Galv. Plant</t>
  </si>
  <si>
    <t>2025-11-20</t>
  </si>
  <si>
    <t>2026-05-20</t>
  </si>
  <si>
    <t>Surface Tech</t>
  </si>
  <si>
    <t>CERT-2281-R</t>
  </si>
  <si>
    <t>Recalibrated after initial fail</t>
  </si>
  <si>
    <t>EQ-005</t>
  </si>
  <si>
    <t>UT Thickness Gauge</t>
  </si>
  <si>
    <t>2026-01-10</t>
  </si>
  <si>
    <t>2027-01-10</t>
  </si>
  <si>
    <t>NDT Spec</t>
  </si>
  <si>
    <t>CERT-NDT-09</t>
  </si>
  <si>
    <t>Ref Master List EQ-005</t>
  </si>
  <si>
    <t>EQ-008</t>
  </si>
  <si>
    <t>Profile Gauge</t>
  </si>
  <si>
    <t>2026-02-15</t>
  </si>
  <si>
    <t>2027-02-15</t>
  </si>
  <si>
    <t>CERT-SR-221</t>
  </si>
  <si>
    <t>CALIBRATION DUE SUMMARY</t>
  </si>
  <si>
    <t>Next Due Date</t>
  </si>
  <si>
    <t>Days Remaining</t>
  </si>
  <si>
    <t>Responsible Dept</t>
  </si>
  <si>
    <t>QC Department</t>
  </si>
  <si>
    <t>CALIBRATION HISTORY ARCHIVE</t>
  </si>
  <si>
    <t>Cal Date</t>
  </si>
  <si>
    <t>Result</t>
  </si>
  <si>
    <t>Verified By</t>
  </si>
  <si>
    <t>2024-08-14</t>
  </si>
  <si>
    <t>PASS</t>
  </si>
  <si>
    <t>CERT-7710</t>
  </si>
  <si>
    <t>S. Rahman</t>
  </si>
  <si>
    <t>Yearly interval</t>
  </si>
  <si>
    <t>2025-01-08</t>
  </si>
  <si>
    <t>CERT-NDT-01</t>
  </si>
  <si>
    <t>M. Iqbal</t>
  </si>
  <si>
    <t>Completed 3 days post-due (Site schedule)</t>
  </si>
  <si>
    <t>FAIL</t>
  </si>
  <si>
    <t>CERT-F-2281</t>
  </si>
  <si>
    <t>FAIL: Dropped during plant scan. Out of tolerance.</t>
  </si>
  <si>
    <t>2025-11-28</t>
  </si>
  <si>
    <t>Corrective Action: Re-cal post physical repair (Met-Lab)</t>
  </si>
  <si>
    <t>EQ-003</t>
  </si>
  <si>
    <t>2026-02-01</t>
  </si>
  <si>
    <t>Internal QC</t>
  </si>
  <si>
    <t>INT-VAL-42</t>
  </si>
  <si>
    <t>Internal verification - Bridge Cam Gauge</t>
  </si>
</sst>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333333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0.7109375" customWidth="1"/>
    <col min="2" max="2" width="22.7109375" customWidth="1"/>
    <col min="3" max="3" width="15.7109375" customWidth="1"/>
    <col min="4" max="4" width="10.7109375" customWidth="1"/>
    <col min="5" max="5" width="8.7109375" customWidth="1"/>
    <col min="6" max="7" width="11.7109375" customWidth="1"/>
    <col min="8" max="8" width="10.7109375" customWidth="1"/>
    <col min="9" max="9" width="12.7109375" customWidth="1"/>
    <col min="10" max="11" width="15.7109375" customWidth="1"/>
    <col min="12" max="12" width="3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2</v>
      </c>
      <c r="B4" s="3" t="s">
        <v>3</v>
      </c>
      <c r="D4" s="2" t="s">
        <v>8</v>
      </c>
      <c r="E4" s="3" t="s">
        <v>9</v>
      </c>
      <c r="G4" s="2" t="s">
        <v>12</v>
      </c>
      <c r="H4" s="3" t="s">
        <v>13</v>
      </c>
    </row>
    <row r="5" spans="1:12">
      <c r="A5" s="2" t="s">
        <v>4</v>
      </c>
      <c r="B5" s="3" t="s">
        <v>5</v>
      </c>
      <c r="D5" s="2" t="s">
        <v>10</v>
      </c>
      <c r="E5" s="3" t="s">
        <v>11</v>
      </c>
      <c r="G5" s="2" t="s">
        <v>15</v>
      </c>
      <c r="H5" s="3" t="s">
        <v>16</v>
      </c>
    </row>
    <row r="6" spans="1:12">
      <c r="A6" s="2" t="s">
        <v>6</v>
      </c>
      <c r="B6" s="3" t="s">
        <v>7</v>
      </c>
    </row>
    <row r="8" spans="1:12">
      <c r="A8" s="4" t="s">
        <v>14</v>
      </c>
    </row>
    <row r="11" spans="1:12">
      <c r="A11" s="5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5" t="s">
        <v>24</v>
      </c>
      <c r="I11" s="5" t="s">
        <v>25</v>
      </c>
      <c r="J11" s="5" t="s">
        <v>26</v>
      </c>
      <c r="K11" s="5" t="s">
        <v>27</v>
      </c>
      <c r="L11" s="5" t="s">
        <v>28</v>
      </c>
    </row>
    <row r="12" spans="1:12">
      <c r="A12" s="6" t="s">
        <v>29</v>
      </c>
      <c r="B12" s="7" t="s">
        <v>30</v>
      </c>
      <c r="C12" s="6" t="s">
        <v>31</v>
      </c>
      <c r="D12" s="6" t="s">
        <v>32</v>
      </c>
      <c r="E12" s="6">
        <v>12</v>
      </c>
      <c r="F12" s="8" t="s">
        <v>33</v>
      </c>
      <c r="G12" s="8" t="s">
        <v>34</v>
      </c>
      <c r="H12" s="6">
        <f>IF(G12="","",INT(G12-TODAY()))</f>
        <v>0</v>
      </c>
      <c r="I12" s="6">
        <f>IF(H12="","",IF(H12&lt;0,"OVERDUE",IF(H12&lt;=30,"DUE SOON","VALID")))</f>
        <v>0</v>
      </c>
      <c r="J12" s="7" t="s">
        <v>35</v>
      </c>
      <c r="K12" s="6" t="s">
        <v>36</v>
      </c>
      <c r="L12" s="7" t="s">
        <v>37</v>
      </c>
    </row>
    <row r="13" spans="1:12">
      <c r="A13" s="6" t="s">
        <v>38</v>
      </c>
      <c r="B13" s="7" t="s">
        <v>39</v>
      </c>
      <c r="C13" s="6" t="s">
        <v>40</v>
      </c>
      <c r="D13" s="6" t="s">
        <v>32</v>
      </c>
      <c r="E13" s="6">
        <v>12</v>
      </c>
      <c r="F13" s="8" t="s">
        <v>41</v>
      </c>
      <c r="G13" s="8" t="s">
        <v>42</v>
      </c>
      <c r="H13" s="6">
        <f>IF(G13="","",INT(G13-TODAY()))</f>
        <v>0</v>
      </c>
      <c r="I13" s="6">
        <f>IF(H13="","",IF(H13&lt;0,"OVERDUE",IF(H13&lt;=30,"DUE SOON","VALID")))</f>
        <v>0</v>
      </c>
      <c r="J13" s="7" t="s">
        <v>35</v>
      </c>
      <c r="K13" s="6" t="s">
        <v>43</v>
      </c>
      <c r="L13" s="7" t="s">
        <v>44</v>
      </c>
    </row>
    <row r="14" spans="1:12">
      <c r="A14" s="6" t="s">
        <v>45</v>
      </c>
      <c r="B14" s="7" t="s">
        <v>46</v>
      </c>
      <c r="C14" s="6" t="s">
        <v>47</v>
      </c>
      <c r="D14" s="6" t="s">
        <v>32</v>
      </c>
      <c r="E14" s="6">
        <v>6</v>
      </c>
      <c r="F14" s="8" t="s">
        <v>48</v>
      </c>
      <c r="G14" s="8" t="s">
        <v>49</v>
      </c>
      <c r="H14" s="6">
        <f>IF(G14="","",INT(G14-TODAY()))</f>
        <v>0</v>
      </c>
      <c r="I14" s="6">
        <f>IF(H14="","",IF(H14&lt;0,"OVERDUE",IF(H14&lt;=30,"DUE SOON","VALID")))</f>
        <v>0</v>
      </c>
      <c r="J14" s="7" t="s">
        <v>50</v>
      </c>
      <c r="K14" s="6" t="s">
        <v>51</v>
      </c>
      <c r="L14" s="7" t="s">
        <v>52</v>
      </c>
    </row>
    <row r="15" spans="1:12">
      <c r="A15" s="6" t="s">
        <v>53</v>
      </c>
      <c r="B15" s="7" t="s">
        <v>54</v>
      </c>
      <c r="C15" s="6" t="s">
        <v>40</v>
      </c>
      <c r="D15" s="6" t="s">
        <v>32</v>
      </c>
      <c r="E15" s="6">
        <v>12</v>
      </c>
      <c r="F15" s="8" t="s">
        <v>55</v>
      </c>
      <c r="G15" s="8" t="s">
        <v>56</v>
      </c>
      <c r="H15" s="6">
        <f>IF(G15="","",INT(G15-TODAY()))</f>
        <v>0</v>
      </c>
      <c r="I15" s="6">
        <f>IF(H15="","",IF(H15&lt;0,"OVERDUE",IF(H15&lt;=30,"DUE SOON","VALID")))</f>
        <v>0</v>
      </c>
      <c r="J15" s="7" t="s">
        <v>57</v>
      </c>
      <c r="K15" s="6" t="s">
        <v>58</v>
      </c>
      <c r="L15" s="7" t="s">
        <v>59</v>
      </c>
    </row>
    <row r="16" spans="1:12">
      <c r="A16" s="6" t="s">
        <v>60</v>
      </c>
      <c r="B16" s="7" t="s">
        <v>61</v>
      </c>
      <c r="C16" s="6" t="s">
        <v>47</v>
      </c>
      <c r="D16" s="6" t="s">
        <v>32</v>
      </c>
      <c r="E16" s="6">
        <v>12</v>
      </c>
      <c r="F16" s="8" t="s">
        <v>62</v>
      </c>
      <c r="G16" s="8" t="s">
        <v>63</v>
      </c>
      <c r="H16" s="6">
        <f>IF(G16="","",INT(G16-TODAY()))</f>
        <v>0</v>
      </c>
      <c r="I16" s="6">
        <f>IF(H16="","",IF(H16&lt;0,"OVERDUE",IF(H16&lt;=30,"DUE SOON","VALID")))</f>
        <v>0</v>
      </c>
      <c r="J16" s="7" t="s">
        <v>35</v>
      </c>
      <c r="K16" s="6" t="s">
        <v>64</v>
      </c>
      <c r="L16" s="7" t="s">
        <v>37</v>
      </c>
    </row>
  </sheetData>
  <mergeCells count="2">
    <mergeCell ref="A1:L1"/>
    <mergeCell ref="A2:L2"/>
  </mergeCells>
  <conditionalFormatting sqref="I12:I22">
    <cfRule type="cellIs" dxfId="0" priority="1" operator="equal">
      <formula>"OVERDUE"</formula>
    </cfRule>
    <cfRule type="cellIs" dxfId="1" priority="2" operator="equal">
      <formula>"DUE SOON"</formula>
    </cfRule>
    <cfRule type="cellIs" dxfId="2" priority="3" operator="equal">
      <formula>"VALID"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cols>
    <col min="1" max="1" width="12.7109375" customWidth="1"/>
    <col min="2" max="2" width="25.7109375" customWidth="1"/>
    <col min="3" max="5" width="15.7109375" customWidth="1"/>
    <col min="6" max="6" width="18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2</v>
      </c>
      <c r="B4" s="3" t="s">
        <v>3</v>
      </c>
      <c r="D4" s="2" t="s">
        <v>8</v>
      </c>
      <c r="E4" s="3" t="s">
        <v>9</v>
      </c>
      <c r="G4" s="2" t="s">
        <v>12</v>
      </c>
      <c r="H4" s="3" t="s">
        <v>13</v>
      </c>
    </row>
    <row r="5" spans="1:12">
      <c r="A5" s="2" t="s">
        <v>4</v>
      </c>
      <c r="B5" s="3" t="s">
        <v>5</v>
      </c>
      <c r="D5" s="2" t="s">
        <v>10</v>
      </c>
      <c r="E5" s="3" t="s">
        <v>11</v>
      </c>
      <c r="G5" s="2" t="s">
        <v>15</v>
      </c>
      <c r="H5" s="3" t="s">
        <v>16</v>
      </c>
    </row>
    <row r="6" spans="1:12">
      <c r="A6" s="2" t="s">
        <v>6</v>
      </c>
      <c r="B6" s="3" t="s">
        <v>7</v>
      </c>
    </row>
    <row r="8" spans="1:12">
      <c r="A8" s="4" t="s">
        <v>14</v>
      </c>
    </row>
    <row r="11" spans="1:12">
      <c r="A11" s="5" t="s">
        <v>17</v>
      </c>
      <c r="B11" s="5" t="s">
        <v>18</v>
      </c>
      <c r="C11" s="5" t="s">
        <v>66</v>
      </c>
      <c r="D11" s="5" t="s">
        <v>67</v>
      </c>
      <c r="E11" s="5" t="s">
        <v>25</v>
      </c>
      <c r="F11" s="5" t="s">
        <v>68</v>
      </c>
    </row>
    <row r="12" spans="1:12">
      <c r="A12" s="6">
        <f>'Calibration Register'!A12</f>
        <v>0</v>
      </c>
      <c r="B12" s="7">
        <f>'Calibration Register'!B12</f>
        <v>0</v>
      </c>
      <c r="C12" s="8">
        <f>'Calibration Register'!G12</f>
        <v>0</v>
      </c>
      <c r="D12" s="6">
        <f>'Calibration Register'!H12</f>
        <v>0</v>
      </c>
      <c r="E12" s="6">
        <f>'Calibration Register'!I12</f>
        <v>0</v>
      </c>
      <c r="F12" s="6" t="s">
        <v>69</v>
      </c>
    </row>
    <row r="13" spans="1:12">
      <c r="A13" s="6">
        <f>'Calibration Register'!A13</f>
        <v>0</v>
      </c>
      <c r="B13" s="7">
        <f>'Calibration Register'!B13</f>
        <v>0</v>
      </c>
      <c r="C13" s="8">
        <f>'Calibration Register'!G13</f>
        <v>0</v>
      </c>
      <c r="D13" s="6">
        <f>'Calibration Register'!H13</f>
        <v>0</v>
      </c>
      <c r="E13" s="6">
        <f>'Calibration Register'!I13</f>
        <v>0</v>
      </c>
      <c r="F13" s="6" t="s">
        <v>69</v>
      </c>
    </row>
    <row r="14" spans="1:12">
      <c r="A14" s="6">
        <f>'Calibration Register'!A14</f>
        <v>0</v>
      </c>
      <c r="B14" s="7">
        <f>'Calibration Register'!B14</f>
        <v>0</v>
      </c>
      <c r="C14" s="8">
        <f>'Calibration Register'!G14</f>
        <v>0</v>
      </c>
      <c r="D14" s="6">
        <f>'Calibration Register'!H14</f>
        <v>0</v>
      </c>
      <c r="E14" s="6">
        <f>'Calibration Register'!I14</f>
        <v>0</v>
      </c>
      <c r="F14" s="6" t="s">
        <v>69</v>
      </c>
    </row>
    <row r="15" spans="1:12">
      <c r="A15" s="6">
        <f>'Calibration Register'!A15</f>
        <v>0</v>
      </c>
      <c r="B15" s="7">
        <f>'Calibration Register'!B15</f>
        <v>0</v>
      </c>
      <c r="C15" s="8">
        <f>'Calibration Register'!G15</f>
        <v>0</v>
      </c>
      <c r="D15" s="6">
        <f>'Calibration Register'!H15</f>
        <v>0</v>
      </c>
      <c r="E15" s="6">
        <f>'Calibration Register'!I15</f>
        <v>0</v>
      </c>
      <c r="F15" s="6" t="s">
        <v>69</v>
      </c>
    </row>
    <row r="16" spans="1:12">
      <c r="A16" s="6">
        <f>'Calibration Register'!A16</f>
        <v>0</v>
      </c>
      <c r="B16" s="7">
        <f>'Calibration Register'!B16</f>
        <v>0</v>
      </c>
      <c r="C16" s="8">
        <f>'Calibration Register'!G16</f>
        <v>0</v>
      </c>
      <c r="D16" s="6">
        <f>'Calibration Register'!H16</f>
        <v>0</v>
      </c>
      <c r="E16" s="6">
        <f>'Calibration Register'!I16</f>
        <v>0</v>
      </c>
      <c r="F16" s="6" t="s">
        <v>69</v>
      </c>
    </row>
  </sheetData>
  <mergeCells count="2">
    <mergeCell ref="A1:L1"/>
    <mergeCell ref="A2:L2"/>
  </mergeCells>
  <conditionalFormatting sqref="E12:E22">
    <cfRule type="cellIs" dxfId="0" priority="1" operator="equal">
      <formula>"OVERDUE"</formula>
    </cfRule>
    <cfRule type="cellIs" dxfId="1" priority="2" operator="equal">
      <formula>"DUE SOON"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cols>
    <col min="1" max="1" width="10.7109375" customWidth="1"/>
    <col min="2" max="2" width="15.7109375" customWidth="1"/>
    <col min="3" max="3" width="10.7109375" customWidth="1"/>
    <col min="4" max="4" width="18.7109375" customWidth="1"/>
    <col min="5" max="5" width="15.7109375" customWidth="1"/>
    <col min="6" max="6" width="10.7109375" customWidth="1"/>
    <col min="7" max="7" width="4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2</v>
      </c>
      <c r="B4" s="3" t="s">
        <v>3</v>
      </c>
      <c r="D4" s="2" t="s">
        <v>8</v>
      </c>
      <c r="E4" s="3" t="s">
        <v>9</v>
      </c>
      <c r="G4" s="2" t="s">
        <v>12</v>
      </c>
      <c r="H4" s="3" t="s">
        <v>13</v>
      </c>
    </row>
    <row r="5" spans="1:12">
      <c r="A5" s="2" t="s">
        <v>4</v>
      </c>
      <c r="B5" s="3" t="s">
        <v>5</v>
      </c>
      <c r="D5" s="2" t="s">
        <v>10</v>
      </c>
      <c r="E5" s="3" t="s">
        <v>11</v>
      </c>
      <c r="G5" s="2" t="s">
        <v>15</v>
      </c>
      <c r="H5" s="3" t="s">
        <v>16</v>
      </c>
    </row>
    <row r="6" spans="1:12">
      <c r="A6" s="2" t="s">
        <v>6</v>
      </c>
      <c r="B6" s="3" t="s">
        <v>7</v>
      </c>
    </row>
    <row r="8" spans="1:12">
      <c r="A8" s="4" t="s">
        <v>14</v>
      </c>
    </row>
    <row r="11" spans="1:12">
      <c r="A11" s="5" t="s">
        <v>17</v>
      </c>
      <c r="B11" s="5" t="s">
        <v>71</v>
      </c>
      <c r="C11" s="5" t="s">
        <v>72</v>
      </c>
      <c r="D11" s="5" t="s">
        <v>26</v>
      </c>
      <c r="E11" s="5" t="s">
        <v>27</v>
      </c>
      <c r="F11" s="5" t="s">
        <v>73</v>
      </c>
      <c r="G11" s="5" t="s">
        <v>28</v>
      </c>
    </row>
    <row r="12" spans="1:12">
      <c r="A12" s="6" t="s">
        <v>29</v>
      </c>
      <c r="B12" s="8" t="s">
        <v>74</v>
      </c>
      <c r="C12" s="6" t="s">
        <v>75</v>
      </c>
      <c r="D12" s="7" t="s">
        <v>35</v>
      </c>
      <c r="E12" s="6" t="s">
        <v>76</v>
      </c>
      <c r="F12" s="6" t="s">
        <v>77</v>
      </c>
      <c r="G12" s="7" t="s">
        <v>78</v>
      </c>
    </row>
    <row r="13" spans="1:12">
      <c r="A13" s="6" t="s">
        <v>53</v>
      </c>
      <c r="B13" s="8" t="s">
        <v>79</v>
      </c>
      <c r="C13" s="6" t="s">
        <v>75</v>
      </c>
      <c r="D13" s="7" t="s">
        <v>57</v>
      </c>
      <c r="E13" s="6" t="s">
        <v>80</v>
      </c>
      <c r="F13" s="6" t="s">
        <v>81</v>
      </c>
      <c r="G13" s="7" t="s">
        <v>82</v>
      </c>
    </row>
    <row r="14" spans="1:12">
      <c r="A14" s="6" t="s">
        <v>45</v>
      </c>
      <c r="B14" s="8" t="s">
        <v>48</v>
      </c>
      <c r="C14" s="6" t="s">
        <v>83</v>
      </c>
      <c r="D14" s="7" t="s">
        <v>50</v>
      </c>
      <c r="E14" s="6" t="s">
        <v>84</v>
      </c>
      <c r="F14" s="6" t="s">
        <v>77</v>
      </c>
      <c r="G14" s="7" t="s">
        <v>85</v>
      </c>
    </row>
    <row r="15" spans="1:12">
      <c r="A15" s="6" t="s">
        <v>45</v>
      </c>
      <c r="B15" s="8" t="s">
        <v>86</v>
      </c>
      <c r="C15" s="6" t="s">
        <v>75</v>
      </c>
      <c r="D15" s="7" t="s">
        <v>50</v>
      </c>
      <c r="E15" s="6" t="s">
        <v>51</v>
      </c>
      <c r="F15" s="6" t="s">
        <v>77</v>
      </c>
      <c r="G15" s="7" t="s">
        <v>87</v>
      </c>
    </row>
    <row r="16" spans="1:12">
      <c r="A16" s="6" t="s">
        <v>88</v>
      </c>
      <c r="B16" s="8" t="s">
        <v>89</v>
      </c>
      <c r="C16" s="6" t="s">
        <v>75</v>
      </c>
      <c r="D16" s="7" t="s">
        <v>90</v>
      </c>
      <c r="E16" s="6" t="s">
        <v>91</v>
      </c>
      <c r="F16" s="6" t="s">
        <v>81</v>
      </c>
      <c r="G16" s="7" t="s">
        <v>92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Register</vt:lpstr>
      <vt:lpstr>Calibration Due Summary</vt:lpstr>
      <vt:lpstr>Calibration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