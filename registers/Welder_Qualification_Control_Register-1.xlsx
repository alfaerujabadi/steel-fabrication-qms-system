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efaultThemeVersion="153222"/>
  <bookViews>
    <workbookView xWindow="360" yWindow="270" windowWidth="14940" windowHeight="9150" activeTab="0"/>
  </bookViews>
  <sheets>
    <sheet name="WELDER REGISTER" sheetId="1" r:id="rId1"/>
  </sheets>
  <calcPr/>
</workbook>
</file>

<file path=xl/sharedStrings.xml><?xml version="1.0" encoding="utf-8"?>
<sst xmlns="http://schemas.openxmlformats.org/spreadsheetml/2006/main" uniqueCount="59" count="59">
  <si>
    <t>STEEL FABRICATION CO. LTD.</t>
  </si>
  <si>
    <t>WELDER QUALIFICATION CONTROL REGISTER</t>
  </si>
  <si>
    <t>SUMMARY CONTROL</t>
  </si>
  <si>
    <t>Document No: QMS-WEL-REG-001 | Rev: 01</t>
  </si>
  <si>
    <t>Total Welders:</t>
  </si>
  <si>
    <t>This register is reviewed monthly by QA/QC Manager prior to production planning.</t>
  </si>
  <si>
    <t>Total VALID:</t>
  </si>
  <si>
    <t>Total DUE SOON:</t>
  </si>
  <si>
    <t>PROTECTION NOTE: Formulas in columns H, I, and K should be locked in final deployment.</t>
  </si>
  <si>
    <t>Total EXPIRED:</t>
  </si>
  <si>
    <t>Total SUSPENDED:</t>
  </si>
  <si>
    <t>Welder ID</t>
  </si>
  <si>
    <t>Welding Process</t>
  </si>
  <si>
    <t>Position</t>
  </si>
  <si>
    <t>WPS Reference</t>
  </si>
  <si>
    <t>Certificate No</t>
  </si>
  <si>
    <t>Qualification Date</t>
  </si>
  <si>
    <t>Expiry Date</t>
  </si>
  <si>
    <t>Days to Expiry (Auto)</t>
  </si>
  <si>
    <t>Qualification Status (Auto)</t>
  </si>
  <si>
    <t>Administrative Status (Manual)</t>
  </si>
  <si>
    <t>Final Status (Displayed)</t>
  </si>
  <si>
    <t>Last Reviewed Date</t>
  </si>
  <si>
    <t>Reviewed By</t>
  </si>
  <si>
    <t>Remarks / Suspension Reason</t>
  </si>
  <si>
    <t>WLD-01</t>
  </si>
  <si>
    <t>SMAW</t>
  </si>
  <si>
    <t>3G</t>
  </si>
  <si>
    <t>WPS-CS-001</t>
  </si>
  <si>
    <t>CERT-9921</t>
  </si>
  <si>
    <t>ACTIVE</t>
  </si>
  <si>
    <t>QC_SUPER</t>
  </si>
  <si>
    <t>Visual and UT passed</t>
  </si>
  <si>
    <t>WLD-02</t>
  </si>
  <si>
    <t>GMAW</t>
  </si>
  <si>
    <t>4G</t>
  </si>
  <si>
    <t>WPS-CS-005</t>
  </si>
  <si>
    <t>CERT-9925</t>
  </si>
  <si>
    <t>Renewal test scheduled</t>
  </si>
  <si>
    <t>WLD-03</t>
  </si>
  <si>
    <t>FCAW</t>
  </si>
  <si>
    <t>1G</t>
  </si>
  <si>
    <t>WPS-SS-002</t>
  </si>
  <si>
    <t>CERT-8841</t>
  </si>
  <si>
    <t>UNDER REVIEW</t>
  </si>
  <si>
    <t>QC_MGR</t>
  </si>
  <si>
    <t>Re-training required</t>
  </si>
  <si>
    <t>WLD-04</t>
  </si>
  <si>
    <t>GTAW</t>
  </si>
  <si>
    <t>6G</t>
  </si>
  <si>
    <t>WPS-AS-009</t>
  </si>
  <si>
    <t>CERT-7712</t>
  </si>
  <si>
    <t>SUSPENDED</t>
  </si>
  <si>
    <t>Suspended due to project inactivity</t>
  </si>
  <si>
    <t>Controlled Under Procedure: QMS-WEL-001</t>
  </si>
  <si>
    <t>Related QC Form: QC-FRM-006 Welding Inspection Report</t>
  </si>
  <si>
    <t>QC-FRM-006 Reference</t>
  </si>
  <si>
    <t>Register ini ditinjau setiap bulan oleh QA/QC Manager.</t>
  </si>
  <si>
    <r>
      <rPr>
        <sz val="11"/>
        <rFont val="Arial"/>
      </rPr>
      <t>Hanya welder dengan status VALID yang diperbolehkan melakukan pekerjaan pengelasan produksi.</t>
    </r>
  </si>
</sst>
</file>

<file path=xl/styles.xml><?xml version="1.0" encoding="utf-8"?>
<styleSheet xmlns="http://schemas.openxmlformats.org/spreadsheetml/2006/main">
  <numFmts count="2">
    <numFmt numFmtId="0" formatCode="General"/>
    <numFmt numFmtId="164" formatCode="dd-mmm-yyyy"/>
  </numFmts>
  <fonts count="7">
    <font>
      <name val="Arial"/>
      <sz val="11"/>
    </font>
    <font>
      <name val="Calibri"/>
      <b/>
      <sz val="11"/>
      <color rgb="FF000000"/>
    </font>
    <font>
      <name val="Calibri"/>
      <b/>
      <sz val="14"/>
      <color rgb="FF333333"/>
    </font>
    <font>
      <name val="Calibri"/>
      <i/>
      <sz val="9"/>
      <color rgb="FF555555"/>
    </font>
    <font>
      <name val="Arial"/>
      <i/>
      <sz val="10"/>
    </font>
    <font>
      <name val="Calibri"/>
      <b/>
      <sz val="10"/>
      <color rgb="FF000000"/>
    </font>
    <font>
      <name val="Calibri"/>
      <sz val="10"/>
      <color rgb="FF000000"/>
    </font>
  </fonts>
  <fills count="5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E0E0E0"/>
        <bgColor rgb="FFE0E0E0"/>
      </patternFill>
    </fill>
    <fill>
      <patternFill patternType="none"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Alignment="1">
      <alignment vertical="bottom"/>
    </xf>
    <xf numFmtId="0" fontId="2" fillId="0" borderId="0" xfId="0" applyFont="1" applyAlignment="1">
      <alignment vertical="bottom"/>
    </xf>
    <xf numFmtId="0" fontId="1" fillId="2" borderId="1" xfId="0" applyFont="1" applyFill="1" applyBorder="1" applyAlignment="1">
      <alignment horizontal="left" vertical="bottom"/>
    </xf>
    <xf numFmtId="0" fontId="1" fillId="0" borderId="1" xfId="0" applyFont="1" applyBorder="1" applyAlignment="1">
      <alignment horizontal="center" vertical="bottom"/>
    </xf>
    <xf numFmtId="0" fontId="3" fillId="0" borderId="0" xfId="0" applyFont="1" applyAlignment="1">
      <alignment vertical="bottom"/>
    </xf>
    <xf numFmtId="0" fontId="4" fillId="0" borderId="0" xfId="0" applyFont="1">
      <alignment vertical="center"/>
    </xf>
    <xf numFmtId="0" fontId="5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0" fillId="4" borderId="0" xfId="0" applyNumberFormat="1" applyFont="1" applyFill="1" applyBorder="1" applyAlignment="1">
      <alignment horizontal="left" vertical="center"/>
    </xf>
  </cellXfs>
  <cellStyles count="1">
    <cellStyle name="常规" xfId="0" builtinId="0"/>
  </cellStyles>
  <dxfs count="5">
    <dxf>
      <font/>
      <fill>
        <patternFill patternType="solid">
          <fgColor rgb="FFFFFF00"/>
          <bgColor rgb="FFFFFF00"/>
        </patternFill>
      </fill>
      <border>
        <left/>
        <right/>
        <top/>
        <bottom/>
        <diagonal/>
      </border>
    </dxf>
    <dxf>
      <font>
        <color rgb="FF9C6500"/>
      </font>
      <fill>
        <patternFill patternType="solid">
          <fgColor rgb="FFFFEB9C"/>
          <bgColor rgb="FFFFEB9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diagonal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diagonal/>
      </border>
    </dxf>
    <dxf>
      <font>
        <color rgb="FF9C0006"/>
      </font>
      <fill>
        <patternFill patternType="solid">
          <fgColor rgb="FFFFC7CE"/>
          <bgColor rgb="FFFFC7CE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diagonal/>
      </border>
    </dxf>
    <dxf>
      <font>
        <color rgb="FF333333"/>
      </font>
      <fill>
        <patternFill patternType="solid">
          <fgColor rgb="FFD9D9D9"/>
          <bgColor rgb="FFD9D9D9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diagonal/>
      </border>
    </dxf>
  </d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T122"/>
  <sheetViews>
    <sheetView tabSelected="1" workbookViewId="0" zoomScale="40">
      <selection activeCell="L59" sqref="L59"/>
    </sheetView>
  </sheetViews>
  <sheetFormatPr defaultRowHeight="15.0" customHeight="1" defaultColWidth="12"/>
  <cols>
    <col min="1" max="1" customWidth="1" width="12.75" style="0"/>
    <col min="2" max="2" customWidth="1" width="18.75" style="0"/>
    <col min="3" max="3" customWidth="1" width="10.75" style="0"/>
    <col min="4" max="4" customWidth="1" width="15.75" style="0"/>
    <col min="5" max="8" customWidth="1" width="18.75" style="0"/>
    <col min="9" max="9" customWidth="1" width="22.75" style="0"/>
    <col min="10" max="10" customWidth="1" width="25.75" style="0"/>
    <col min="11" max="11" customWidth="1" width="20.75" style="0"/>
    <col min="12" max="12" customWidth="1" width="18.75" style="0"/>
    <col min="13" max="13" customWidth="1" width="15.75" style="0"/>
    <col min="14" max="14" customWidth="1" width="35.75" style="0"/>
    <col min="15" max="15" customWidth="1" width="8.75" style="0"/>
    <col min="16" max="16" customWidth="1" width="17.0" style="0"/>
    <col min="17" max="17" customWidth="1" width="8.75" style="0"/>
    <col min="18" max="26" customWidth="1" width="14.378906" style="0"/>
  </cols>
  <sheetData>
    <row r="1" spans="8:8" ht="15.0">
      <c r="A1" s="1" t="s">
        <v>0</v>
      </c>
    </row>
    <row r="2" spans="8:8" ht="15.0">
      <c r="A2" s="2" t="s">
        <v>1</v>
      </c>
      <c r="P2" s="3" t="s">
        <v>2</v>
      </c>
    </row>
    <row r="3" spans="8:8" ht="15.0">
      <c r="A3" s="1" t="s">
        <v>3</v>
      </c>
      <c r="P3" s="3" t="s">
        <v>4</v>
      </c>
      <c r="Q3" s="4">
        <f>COUNTA(A17:A102)</f>
        <v>4.0</v>
      </c>
    </row>
    <row r="4" spans="8:8" ht="15.4" customFormat="1">
      <c r="A4" s="1" t="s">
        <v>54</v>
      </c>
      <c r="P4" s="3" t="s">
        <v>6</v>
      </c>
      <c r="Q4" s="4">
        <f>COUNTIF(K17:K102,"VALID")</f>
        <v>1.0</v>
      </c>
    </row>
    <row r="5" spans="8:8" ht="15.4" customFormat="1">
      <c r="A5" s="1" t="s">
        <v>55</v>
      </c>
      <c r="P5" s="3" t="s">
        <v>7</v>
      </c>
      <c r="Q5" s="4">
        <f>COUNTIF(K17:K102,"DUE SOON")</f>
        <v>1.0</v>
      </c>
    </row>
    <row r="6" spans="8:8" ht="15.4">
      <c r="A6" s="5" t="s">
        <v>5</v>
      </c>
      <c r="P6" s="3" t="s">
        <v>9</v>
      </c>
      <c r="Q6" s="4">
        <f>COUNTIF(K17:K102,"EXPIRED")</f>
        <v>1.0</v>
      </c>
    </row>
    <row r="7" spans="8:8" ht="15.4">
      <c r="P7" s="3" t="s">
        <v>10</v>
      </c>
      <c r="Q7" s="4">
        <f>COUNTIF(K17:K102,"SUSPENDED")</f>
        <v>1.0</v>
      </c>
    </row>
    <row r="8" spans="8:8" ht="15.0">
      <c r="A8" s="5" t="s">
        <v>8</v>
      </c>
    </row>
    <row r="9" spans="8:8" ht="15.0"/>
    <row r="10" spans="8:8" ht="15.0" customHeight="1"/>
    <row r="14" spans="8:8" ht="15.0">
      <c r="A14" s="6" t="s">
        <v>56</v>
      </c>
    </row>
    <row r="15" spans="8:8" ht="15.0"/>
    <row r="16" spans="8:8" ht="15.0">
      <c r="A16" s="7" t="s">
        <v>11</v>
      </c>
      <c r="B16" s="7" t="s">
        <v>12</v>
      </c>
      <c r="C16" s="7" t="s">
        <v>13</v>
      </c>
      <c r="D16" s="7" t="s">
        <v>14</v>
      </c>
      <c r="E16" s="7" t="s">
        <v>15</v>
      </c>
      <c r="F16" s="7" t="s">
        <v>16</v>
      </c>
      <c r="G16" s="7" t="s">
        <v>17</v>
      </c>
      <c r="H16" s="7" t="s">
        <v>18</v>
      </c>
      <c r="I16" s="7" t="s">
        <v>19</v>
      </c>
      <c r="J16" s="7" t="s">
        <v>20</v>
      </c>
      <c r="K16" s="7" t="s">
        <v>21</v>
      </c>
      <c r="L16" s="7" t="s">
        <v>22</v>
      </c>
      <c r="M16" s="7" t="s">
        <v>23</v>
      </c>
      <c r="N16" s="7" t="s">
        <v>24</v>
      </c>
    </row>
    <row r="17" spans="8:8" ht="15.0">
      <c r="A17" s="8" t="s">
        <v>25</v>
      </c>
      <c r="B17" s="8" t="s">
        <v>26</v>
      </c>
      <c r="C17" s="8" t="s">
        <v>27</v>
      </c>
      <c r="D17" s="8" t="s">
        <v>28</v>
      </c>
      <c r="E17" s="8" t="s">
        <v>29</v>
      </c>
      <c r="F17" s="9">
        <v>45878.08057396019</v>
      </c>
      <c r="G17" s="9">
        <v>46198.08057396019</v>
      </c>
      <c r="H17" s="8">
        <f>IF(G17="","",INT(G17-TODAY()))</f>
        <v>119.0</v>
      </c>
      <c r="I17" s="8" t="str">
        <f>IF(H17="","",IF(H17&lt;0,"EXPIRED",IF(H17&lt;=30,"DUE SOON","VALID")))</f>
        <v>VALID</v>
      </c>
      <c r="J17" s="8" t="s">
        <v>30</v>
      </c>
      <c r="K17" s="8" t="str">
        <f>IF(J17="SUSPENDED","SUSPENDED",IF(I17="","",I17))</f>
        <v>VALID</v>
      </c>
      <c r="L17" s="9">
        <v>46073.08057396019</v>
      </c>
      <c r="M17" s="8" t="s">
        <v>31</v>
      </c>
      <c r="N17" s="10" t="s">
        <v>32</v>
      </c>
    </row>
    <row r="18" spans="8:8" ht="15.0">
      <c r="A18" s="8" t="s">
        <v>33</v>
      </c>
      <c r="B18" s="8" t="s">
        <v>34</v>
      </c>
      <c r="C18" s="8" t="s">
        <v>35</v>
      </c>
      <c r="D18" s="8" t="s">
        <v>36</v>
      </c>
      <c r="E18" s="8" t="s">
        <v>37</v>
      </c>
      <c r="F18" s="9">
        <v>45728.08057396019</v>
      </c>
      <c r="G18" s="9">
        <v>46093.08057396019</v>
      </c>
      <c r="H18" s="8">
        <f>IF(G18="","",INT(G18-TODAY()))</f>
        <v>14.0</v>
      </c>
      <c r="I18" s="8" t="str">
        <f>IF(H18="","",IF(H18&lt;0,"EXPIRED",IF(H18&lt;=30,"DUE SOON","VALID")))</f>
        <v>DUE SOON</v>
      </c>
      <c r="J18" s="8" t="s">
        <v>30</v>
      </c>
      <c r="K18" s="8" t="str">
        <f>IF(J18="SUSPENDED","SUSPENDED",IF(I18="","",I18))</f>
        <v>DUE SOON</v>
      </c>
      <c r="L18" s="9">
        <v>46073.08057396019</v>
      </c>
      <c r="M18" s="8" t="s">
        <v>31</v>
      </c>
      <c r="N18" s="10" t="s">
        <v>38</v>
      </c>
    </row>
    <row r="19" spans="8:8" ht="15.0">
      <c r="A19" s="8" t="s">
        <v>39</v>
      </c>
      <c r="B19" s="8" t="s">
        <v>40</v>
      </c>
      <c r="C19" s="8" t="s">
        <v>41</v>
      </c>
      <c r="D19" s="8" t="s">
        <v>42</v>
      </c>
      <c r="E19" s="8" t="s">
        <v>43</v>
      </c>
      <c r="F19" s="9">
        <v>45678.08057396019</v>
      </c>
      <c r="G19" s="9">
        <v>46068.08057396019</v>
      </c>
      <c r="H19" s="8">
        <f>IF(G19="","",INT(G19-TODAY()))</f>
        <v>-11.0</v>
      </c>
      <c r="I19" s="8" t="str">
        <f>IF(H19="","",IF(H19&lt;0,"EXPIRED",IF(H19&lt;=30,"DUE SOON","VALID")))</f>
        <v>EXPIRED</v>
      </c>
      <c r="J19" s="8" t="s">
        <v>44</v>
      </c>
      <c r="K19" s="8" t="str">
        <f>IF(J19="SUSPENDED","SUSPENDED",IF(I19="","",I19))</f>
        <v>EXPIRED</v>
      </c>
      <c r="L19" s="9">
        <v>46078.08057396019</v>
      </c>
      <c r="M19" s="8" t="s">
        <v>45</v>
      </c>
      <c r="N19" s="10" t="s">
        <v>46</v>
      </c>
    </row>
    <row r="20" spans="8:8" ht="15.0">
      <c r="A20" s="8" t="s">
        <v>47</v>
      </c>
      <c r="B20" s="8" t="s">
        <v>48</v>
      </c>
      <c r="C20" s="8" t="s">
        <v>49</v>
      </c>
      <c r="D20" s="8" t="s">
        <v>50</v>
      </c>
      <c r="E20" s="8" t="s">
        <v>51</v>
      </c>
      <c r="F20" s="9">
        <v>45978.08057396019</v>
      </c>
      <c r="G20" s="9">
        <v>46168.08057396019</v>
      </c>
      <c r="H20" s="8">
        <f>IF(G20="","",INT(G20-TODAY()))</f>
        <v>89.0</v>
      </c>
      <c r="I20" s="8" t="str">
        <f>IF(H20="","",IF(H20&lt;0,"EXPIRED",IF(H20&lt;=30,"DUE SOON","VALID")))</f>
        <v>VALID</v>
      </c>
      <c r="J20" s="8" t="s">
        <v>52</v>
      </c>
      <c r="K20" s="8" t="str">
        <f>IF(J20="SUSPENDED","SUSPENDED",IF(I20="","",I20))</f>
        <v>SUSPENDED</v>
      </c>
      <c r="L20" s="9">
        <v>46077.08057396019</v>
      </c>
      <c r="M20" s="8" t="s">
        <v>45</v>
      </c>
      <c r="N20" s="10" t="s">
        <v>53</v>
      </c>
    </row>
    <row r="21" spans="8:8" ht="15.0">
      <c r="A21" s="8"/>
      <c r="B21" s="8"/>
      <c r="C21" s="8"/>
      <c r="D21" s="8"/>
      <c r="E21" s="8"/>
      <c r="F21" s="8"/>
      <c r="G21" s="8"/>
      <c r="H21" s="8" t="str">
        <f>IF(G21="","",G21-TODAY())</f>
        <v/>
      </c>
      <c r="I21" s="8" t="str">
        <f>IF(H21="","",IF(H21&lt;0,"EXPIRED",IF(H21&lt;=30,"DUE SOON","VALID")))</f>
        <v/>
      </c>
      <c r="J21" s="8"/>
      <c r="K21" s="8" t="str">
        <f>IF(J21="SUSPENDED","SUSPENDED",IF(I21="","",I21))</f>
        <v/>
      </c>
      <c r="L21" s="8"/>
      <c r="M21" s="8"/>
      <c r="N21" s="8"/>
    </row>
    <row r="22" spans="8:8" ht="15.0">
      <c r="A22" s="8"/>
      <c r="B22" s="8"/>
      <c r="C22" s="8"/>
      <c r="D22" s="8"/>
      <c r="E22" s="8"/>
      <c r="F22" s="8"/>
      <c r="G22" s="8"/>
      <c r="H22" s="8" t="str">
        <f>IF(G22="","",G22-TODAY())</f>
        <v/>
      </c>
      <c r="I22" s="8" t="str">
        <f>IF(H22="","",IF(H22&lt;0,"EXPIRED",IF(H22&lt;=30,"DUE SOON","VALID")))</f>
        <v/>
      </c>
      <c r="J22" s="8"/>
      <c r="K22" s="8" t="str">
        <f>IF(J22="SUSPENDED","SUSPENDED",IF(I22="","",I22))</f>
        <v/>
      </c>
      <c r="L22" s="8"/>
      <c r="M22" s="8"/>
      <c r="N22" s="8"/>
    </row>
    <row r="23" spans="8:8" ht="15.75" customHeight="1">
      <c r="A23" s="8"/>
      <c r="B23" s="8"/>
      <c r="C23" s="8"/>
      <c r="D23" s="8"/>
      <c r="E23" s="8"/>
      <c r="F23" s="8"/>
      <c r="G23" s="8"/>
      <c r="H23" s="8" t="str">
        <f>IF(G23="","",G23-TODAY())</f>
        <v/>
      </c>
      <c r="I23" s="8" t="str">
        <f>IF(H23="","",IF(H23&lt;0,"EXPIRED",IF(H23&lt;=30,"DUE SOON","VALID")))</f>
        <v/>
      </c>
      <c r="J23" s="8"/>
      <c r="K23" s="8" t="str">
        <f>IF(J23="SUSPENDED","SUSPENDED",IF(I23="","",I23))</f>
        <v/>
      </c>
      <c r="L23" s="8"/>
      <c r="M23" s="8"/>
      <c r="N23" s="8"/>
    </row>
    <row r="24" spans="8:8" ht="15.75" customHeight="1">
      <c r="A24" s="8"/>
      <c r="B24" s="8"/>
      <c r="C24" s="8"/>
      <c r="D24" s="8"/>
      <c r="E24" s="8"/>
      <c r="F24" s="8"/>
      <c r="G24" s="8"/>
      <c r="H24" s="8" t="str">
        <f>IF(G24="","",G24-TODAY())</f>
        <v/>
      </c>
      <c r="I24" s="8" t="str">
        <f>IF(H24="","",IF(H24&lt;0,"EXPIRED",IF(H24&lt;=30,"DUE SOON","VALID")))</f>
        <v/>
      </c>
      <c r="J24" s="8"/>
      <c r="K24" s="8" t="str">
        <f>IF(J24="SUSPENDED","SUSPENDED",IF(I24="","",I24))</f>
        <v/>
      </c>
      <c r="L24" s="8"/>
      <c r="M24" s="8"/>
      <c r="N24" s="8"/>
    </row>
    <row r="25" spans="8:8" ht="15.75" customHeight="1">
      <c r="A25" s="8"/>
      <c r="B25" s="8"/>
      <c r="C25" s="8"/>
      <c r="D25" s="8"/>
      <c r="E25" s="8"/>
      <c r="F25" s="8"/>
      <c r="G25" s="8"/>
      <c r="H25" s="8" t="str">
        <f>IF(G25="","",G25-TODAY())</f>
        <v/>
      </c>
      <c r="I25" s="8" t="str">
        <f>IF(H25="","",IF(H25&lt;0,"EXPIRED",IF(H25&lt;=30,"DUE SOON","VALID")))</f>
        <v/>
      </c>
      <c r="J25" s="8"/>
      <c r="K25" s="8" t="str">
        <f>IF(J25="SUSPENDED","SUSPENDED",IF(I25="","",I25))</f>
        <v/>
      </c>
      <c r="L25" s="8"/>
      <c r="M25" s="8"/>
      <c r="N25" s="8"/>
    </row>
    <row r="26" spans="8:8" ht="15.75" customHeight="1">
      <c r="A26" s="8"/>
      <c r="B26" s="8"/>
      <c r="C26" s="8"/>
      <c r="D26" s="8"/>
      <c r="E26" s="8"/>
      <c r="F26" s="8"/>
      <c r="G26" s="8"/>
      <c r="H26" s="8" t="str">
        <f>IF(G26="","",G26-TODAY())</f>
        <v/>
      </c>
      <c r="I26" s="8" t="str">
        <f>IF(H26="","",IF(H26&lt;0,"EXPIRED",IF(H26&lt;=30,"DUE SOON","VALID")))</f>
        <v/>
      </c>
      <c r="J26" s="8"/>
      <c r="K26" s="8" t="str">
        <f>IF(J26="SUSPENDED","SUSPENDED",IF(I26="","",I26))</f>
        <v/>
      </c>
      <c r="L26" s="8"/>
      <c r="M26" s="8"/>
      <c r="N26" s="8"/>
    </row>
    <row r="27" spans="8:8" ht="15.75" customHeight="1">
      <c r="A27" s="8"/>
      <c r="B27" s="8"/>
      <c r="C27" s="8"/>
      <c r="D27" s="8"/>
      <c r="E27" s="8"/>
      <c r="F27" s="8"/>
      <c r="G27" s="8"/>
      <c r="H27" s="8" t="str">
        <f>IF(G27="","",G27-TODAY())</f>
        <v/>
      </c>
      <c r="I27" s="8" t="str">
        <f>IF(H27="","",IF(H27&lt;0,"EXPIRED",IF(H27&lt;=30,"DUE SOON","VALID")))</f>
        <v/>
      </c>
      <c r="J27" s="8"/>
      <c r="K27" s="8" t="str">
        <f>IF(J27="SUSPENDED","SUSPENDED",IF(I27="","",I27))</f>
        <v/>
      </c>
      <c r="L27" s="8"/>
      <c r="M27" s="8"/>
      <c r="N27" s="8"/>
    </row>
    <row r="28" spans="8:8" ht="15.75" customHeight="1">
      <c r="A28" s="8"/>
      <c r="B28" s="8"/>
      <c r="C28" s="8"/>
      <c r="D28" s="8"/>
      <c r="E28" s="8"/>
      <c r="F28" s="8"/>
      <c r="G28" s="8"/>
      <c r="H28" s="8" t="str">
        <f>IF(G28="","",G28-TODAY())</f>
        <v/>
      </c>
      <c r="I28" s="8" t="str">
        <f>IF(H28="","",IF(H28&lt;0,"EXPIRED",IF(H28&lt;=30,"DUE SOON","VALID")))</f>
        <v/>
      </c>
      <c r="J28" s="8"/>
      <c r="K28" s="8" t="str">
        <f>IF(J28="SUSPENDED","SUSPENDED",IF(I28="","",I28))</f>
        <v/>
      </c>
      <c r="L28" s="8"/>
      <c r="M28" s="8"/>
      <c r="N28" s="8"/>
    </row>
    <row r="29" spans="8:8" ht="15.75" customHeight="1">
      <c r="A29" s="8"/>
      <c r="B29" s="8"/>
      <c r="C29" s="8"/>
      <c r="D29" s="8"/>
      <c r="E29" s="8"/>
      <c r="F29" s="8"/>
      <c r="G29" s="8"/>
      <c r="H29" s="8" t="str">
        <f>IF(G29="","",G29-TODAY())</f>
        <v/>
      </c>
      <c r="I29" s="8" t="str">
        <f>IF(H29="","",IF(H29&lt;0,"EXPIRED",IF(H29&lt;=30,"DUE SOON","VALID")))</f>
        <v/>
      </c>
      <c r="J29" s="8"/>
      <c r="K29" s="8" t="str">
        <f>IF(J29="SUSPENDED","SUSPENDED",IF(I29="","",I29))</f>
        <v/>
      </c>
      <c r="L29" s="8"/>
      <c r="M29" s="8"/>
      <c r="N29" s="8"/>
    </row>
    <row r="30" spans="8:8" ht="15.75" customHeight="1">
      <c r="A30" s="8"/>
      <c r="B30" s="8"/>
      <c r="C30" s="8"/>
      <c r="D30" s="8"/>
      <c r="E30" s="8"/>
      <c r="F30" s="8"/>
      <c r="G30" s="8"/>
      <c r="H30" s="8" t="str">
        <f>IF(G30="","",G30-TODAY())</f>
        <v/>
      </c>
      <c r="I30" s="8" t="str">
        <f>IF(H30="","",IF(H30&lt;0,"EXPIRED",IF(H30&lt;=30,"DUE SOON","VALID")))</f>
        <v/>
      </c>
      <c r="J30" s="8"/>
      <c r="K30" s="8" t="str">
        <f>IF(J30="SUSPENDED","SUSPENDED",IF(I30="","",I30))</f>
        <v/>
      </c>
      <c r="L30" s="8"/>
      <c r="M30" s="8"/>
      <c r="N30" s="8"/>
    </row>
    <row r="31" spans="8:8" ht="15.75" customHeight="1">
      <c r="A31" s="8"/>
      <c r="B31" s="8"/>
      <c r="C31" s="8"/>
      <c r="D31" s="8"/>
      <c r="E31" s="8"/>
      <c r="F31" s="8"/>
      <c r="G31" s="8"/>
      <c r="H31" s="8" t="str">
        <f>IF(G31="","",G31-TODAY())</f>
        <v/>
      </c>
      <c r="I31" s="8" t="str">
        <f>IF(H31="","",IF(H31&lt;0,"EXPIRED",IF(H31&lt;=30,"DUE SOON","VALID")))</f>
        <v/>
      </c>
      <c r="J31" s="8"/>
      <c r="K31" s="8" t="str">
        <f>IF(J31="SUSPENDED","SUSPENDED",IF(I31="","",I31))</f>
        <v/>
      </c>
      <c r="L31" s="8"/>
      <c r="M31" s="8"/>
      <c r="N31" s="8"/>
    </row>
    <row r="32" spans="8:8" ht="15.75" customHeight="1">
      <c r="A32" s="8"/>
      <c r="B32" s="8"/>
      <c r="C32" s="8"/>
      <c r="D32" s="8"/>
      <c r="E32" s="8"/>
      <c r="F32" s="8"/>
      <c r="G32" s="8"/>
      <c r="H32" s="8" t="str">
        <f>IF(G32="","",G32-TODAY())</f>
        <v/>
      </c>
      <c r="I32" s="8" t="str">
        <f>IF(H32="","",IF(H32&lt;0,"EXPIRED",IF(H32&lt;=30,"DUE SOON","VALID")))</f>
        <v/>
      </c>
      <c r="J32" s="8"/>
      <c r="K32" s="8" t="str">
        <f>IF(J32="SUSPENDED","SUSPENDED",IF(I32="","",I32))</f>
        <v/>
      </c>
      <c r="L32" s="8"/>
      <c r="M32" s="8"/>
      <c r="N32" s="8"/>
    </row>
    <row r="33" spans="8:8" ht="15.75" customHeight="1">
      <c r="A33" s="8"/>
      <c r="B33" s="8"/>
      <c r="C33" s="8"/>
      <c r="D33" s="8"/>
      <c r="E33" s="8"/>
      <c r="F33" s="8"/>
      <c r="G33" s="8"/>
      <c r="H33" s="8" t="str">
        <f>IF(G33="","",G33-TODAY())</f>
        <v/>
      </c>
      <c r="I33" s="8" t="str">
        <f>IF(H33="","",IF(H33&lt;0,"EXPIRED",IF(H33&lt;=30,"DUE SOON","VALID")))</f>
        <v/>
      </c>
      <c r="J33" s="8"/>
      <c r="K33" s="8" t="str">
        <f>IF(J33="SUSPENDED","SUSPENDED",IF(I33="","",I33))</f>
        <v/>
      </c>
      <c r="L33" s="8"/>
      <c r="M33" s="8"/>
      <c r="N33" s="8"/>
    </row>
    <row r="34" spans="8:8" ht="15.75" customHeight="1">
      <c r="A34" s="8"/>
      <c r="B34" s="8"/>
      <c r="C34" s="8"/>
      <c r="D34" s="8"/>
      <c r="E34" s="8"/>
      <c r="F34" s="8"/>
      <c r="G34" s="8"/>
      <c r="H34" s="8" t="str">
        <f>IF(G34="","",G34-TODAY())</f>
        <v/>
      </c>
      <c r="I34" s="8" t="str">
        <f>IF(H34="","",IF(H34&lt;0,"EXPIRED",IF(H34&lt;=30,"DUE SOON","VALID")))</f>
        <v/>
      </c>
      <c r="J34" s="8"/>
      <c r="K34" s="8" t="str">
        <f>IF(J34="SUSPENDED","SUSPENDED",IF(I34="","",I34))</f>
        <v/>
      </c>
      <c r="L34" s="8"/>
      <c r="M34" s="8"/>
      <c r="N34" s="8"/>
    </row>
    <row r="35" spans="8:8" ht="15.75" customHeight="1">
      <c r="A35" s="8"/>
      <c r="B35" s="8"/>
      <c r="C35" s="8"/>
      <c r="D35" s="8"/>
      <c r="E35" s="8"/>
      <c r="F35" s="8"/>
      <c r="G35" s="8"/>
      <c r="H35" s="8" t="str">
        <f>IF(G35="","",G35-TODAY())</f>
        <v/>
      </c>
      <c r="I35" s="8" t="str">
        <f>IF(H35="","",IF(H35&lt;0,"EXPIRED",IF(H35&lt;=30,"DUE SOON","VALID")))</f>
        <v/>
      </c>
      <c r="J35" s="8"/>
      <c r="K35" s="8" t="str">
        <f>IF(J35="SUSPENDED","SUSPENDED",IF(I35="","",I35))</f>
        <v/>
      </c>
      <c r="L35" s="8"/>
      <c r="M35" s="8"/>
      <c r="N35" s="8"/>
    </row>
    <row r="36" spans="8:8" ht="15.75" customHeight="1">
      <c r="A36" s="8"/>
      <c r="B36" s="8"/>
      <c r="C36" s="8"/>
      <c r="D36" s="8"/>
      <c r="E36" s="8"/>
      <c r="F36" s="8"/>
      <c r="G36" s="8"/>
      <c r="H36" s="8" t="str">
        <f>IF(G36="","",G36-TODAY())</f>
        <v/>
      </c>
      <c r="I36" s="8" t="str">
        <f>IF(H36="","",IF(H36&lt;0,"EXPIRED",IF(H36&lt;=30,"DUE SOON","VALID")))</f>
        <v/>
      </c>
      <c r="J36" s="8"/>
      <c r="K36" s="8" t="str">
        <f>IF(J36="SUSPENDED","SUSPENDED",IF(I36="","",I36))</f>
        <v/>
      </c>
      <c r="L36" s="8"/>
      <c r="M36" s="8"/>
      <c r="N36" s="8"/>
    </row>
    <row r="37" spans="8:8" ht="15.75" customHeight="1">
      <c r="A37" s="8"/>
      <c r="B37" s="8"/>
      <c r="C37" s="8"/>
      <c r="D37" s="8"/>
      <c r="E37" s="8"/>
      <c r="F37" s="8"/>
      <c r="G37" s="8"/>
      <c r="H37" s="8" t="str">
        <f>IF(G37="","",G37-TODAY())</f>
        <v/>
      </c>
      <c r="I37" s="8" t="str">
        <f>IF(H37="","",IF(H37&lt;0,"EXPIRED",IF(H37&lt;=30,"DUE SOON","VALID")))</f>
        <v/>
      </c>
      <c r="J37" s="8"/>
      <c r="K37" s="8" t="str">
        <f>IF(J37="SUSPENDED","SUSPENDED",IF(I37="","",I37))</f>
        <v/>
      </c>
      <c r="L37" s="8"/>
      <c r="M37" s="8"/>
      <c r="N37" s="8"/>
    </row>
    <row r="38" spans="8:8" ht="15.75" customHeight="1">
      <c r="A38" s="8"/>
      <c r="B38" s="8"/>
      <c r="C38" s="8"/>
      <c r="D38" s="8"/>
      <c r="E38" s="8"/>
      <c r="F38" s="8"/>
      <c r="G38" s="8"/>
      <c r="H38" s="8" t="str">
        <f>IF(G38="","",G38-TODAY())</f>
        <v/>
      </c>
      <c r="I38" s="8" t="str">
        <f>IF(H38="","",IF(H38&lt;0,"EXPIRED",IF(H38&lt;=30,"DUE SOON","VALID")))</f>
        <v/>
      </c>
      <c r="J38" s="8"/>
      <c r="K38" s="8" t="str">
        <f>IF(J38="SUSPENDED","SUSPENDED",IF(I38="","",I38))</f>
        <v/>
      </c>
      <c r="L38" s="8"/>
      <c r="M38" s="8"/>
      <c r="N38" s="8"/>
    </row>
    <row r="39" spans="8:8" ht="15.75" customHeight="1">
      <c r="A39" s="8"/>
      <c r="B39" s="8"/>
      <c r="C39" s="8"/>
      <c r="D39" s="8"/>
      <c r="E39" s="8"/>
      <c r="F39" s="8"/>
      <c r="G39" s="8"/>
      <c r="H39" s="8" t="str">
        <f>IF(G39="","",G39-TODAY())</f>
        <v/>
      </c>
      <c r="I39" s="8" t="str">
        <f>IF(H39="","",IF(H39&lt;0,"EXPIRED",IF(H39&lt;=30,"DUE SOON","VALID")))</f>
        <v/>
      </c>
      <c r="J39" s="8"/>
      <c r="K39" s="8" t="str">
        <f>IF(J39="SUSPENDED","SUSPENDED",IF(I39="","",I39))</f>
        <v/>
      </c>
      <c r="L39" s="8"/>
      <c r="M39" s="8"/>
      <c r="N39" s="8"/>
    </row>
    <row r="40" spans="8:8" ht="15.75" customHeight="1">
      <c r="A40" s="8"/>
      <c r="B40" s="8"/>
      <c r="C40" s="8"/>
      <c r="D40" s="8"/>
      <c r="E40" s="8"/>
      <c r="F40" s="8"/>
      <c r="G40" s="8"/>
      <c r="H40" s="8" t="str">
        <f>IF(G40="","",G40-TODAY())</f>
        <v/>
      </c>
      <c r="I40" s="8" t="str">
        <f>IF(H40="","",IF(H40&lt;0,"EXPIRED",IF(H40&lt;=30,"DUE SOON","VALID")))</f>
        <v/>
      </c>
      <c r="J40" s="8"/>
      <c r="K40" s="8" t="str">
        <f>IF(J40="SUSPENDED","SUSPENDED",IF(I40="","",I40))</f>
        <v/>
      </c>
      <c r="L40" s="8"/>
      <c r="M40" s="8"/>
      <c r="N40" s="8"/>
    </row>
    <row r="41" spans="8:8" ht="15.75" customHeight="1">
      <c r="A41" s="8"/>
      <c r="B41" s="8"/>
      <c r="C41" s="8"/>
      <c r="D41" s="8"/>
      <c r="E41" s="8"/>
      <c r="F41" s="8"/>
      <c r="G41" s="8"/>
      <c r="H41" s="8" t="str">
        <f>IF(G41="","",G41-TODAY())</f>
        <v/>
      </c>
      <c r="I41" s="8" t="str">
        <f>IF(H41="","",IF(H41&lt;0,"EXPIRED",IF(H41&lt;=30,"DUE SOON","VALID")))</f>
        <v/>
      </c>
      <c r="J41" s="8"/>
      <c r="K41" s="8" t="str">
        <f>IF(J41="SUSPENDED","SUSPENDED",IF(I41="","",I41))</f>
        <v/>
      </c>
      <c r="L41" s="8"/>
      <c r="M41" s="8"/>
      <c r="N41" s="8"/>
    </row>
    <row r="42" spans="8:8" ht="15.75" customHeight="1">
      <c r="A42" s="8"/>
      <c r="B42" s="8"/>
      <c r="C42" s="8"/>
      <c r="D42" s="8"/>
      <c r="E42" s="8"/>
      <c r="F42" s="8"/>
      <c r="G42" s="8"/>
      <c r="H42" s="8" t="str">
        <f>IF(G42="","",G42-TODAY())</f>
        <v/>
      </c>
      <c r="I42" s="8" t="str">
        <f>IF(H42="","",IF(H42&lt;0,"EXPIRED",IF(H42&lt;=30,"DUE SOON","VALID")))</f>
        <v/>
      </c>
      <c r="J42" s="8"/>
      <c r="K42" s="8" t="str">
        <f>IF(J42="SUSPENDED","SUSPENDED",IF(I42="","",I42))</f>
        <v/>
      </c>
      <c r="L42" s="8"/>
      <c r="M42" s="8"/>
      <c r="N42" s="8"/>
    </row>
    <row r="43" spans="8:8" ht="15.75" customHeight="1">
      <c r="A43" s="8"/>
      <c r="B43" s="8"/>
      <c r="C43" s="8"/>
      <c r="D43" s="8"/>
      <c r="E43" s="8"/>
      <c r="F43" s="8"/>
      <c r="G43" s="8"/>
      <c r="H43" s="8" t="str">
        <f>IF(G43="","",G43-TODAY())</f>
        <v/>
      </c>
      <c r="I43" s="8" t="str">
        <f>IF(H43="","",IF(H43&lt;0,"EXPIRED",IF(H43&lt;=30,"DUE SOON","VALID")))</f>
        <v/>
      </c>
      <c r="J43" s="8"/>
      <c r="K43" s="8" t="str">
        <f>IF(J43="SUSPENDED","SUSPENDED",IF(I43="","",I43))</f>
        <v/>
      </c>
      <c r="L43" s="8"/>
      <c r="M43" s="8"/>
      <c r="N43" s="8"/>
    </row>
    <row r="44" spans="8:8" ht="15.75" customHeight="1">
      <c r="A44" s="8"/>
      <c r="B44" s="8"/>
      <c r="C44" s="8"/>
      <c r="D44" s="8"/>
      <c r="E44" s="8"/>
      <c r="F44" s="8"/>
      <c r="G44" s="8"/>
      <c r="H44" s="8" t="str">
        <f>IF(G44="","",G44-TODAY())</f>
        <v/>
      </c>
      <c r="I44" s="8" t="str">
        <f>IF(H44="","",IF(H44&lt;0,"EXPIRED",IF(H44&lt;=30,"DUE SOON","VALID")))</f>
        <v/>
      </c>
      <c r="J44" s="8"/>
      <c r="K44" s="8" t="str">
        <f>IF(J44="SUSPENDED","SUSPENDED",IF(I44="","",I44))</f>
        <v/>
      </c>
      <c r="L44" s="8"/>
      <c r="M44" s="8"/>
      <c r="N44" s="8"/>
    </row>
    <row r="45" spans="8:8" ht="15.75" customHeight="1">
      <c r="A45" s="8"/>
      <c r="B45" s="8"/>
      <c r="C45" s="8"/>
      <c r="D45" s="8"/>
      <c r="E45" s="8"/>
      <c r="F45" s="8"/>
      <c r="G45" s="8"/>
      <c r="H45" s="8" t="str">
        <f>IF(G45="","",G45-TODAY())</f>
        <v/>
      </c>
      <c r="I45" s="8" t="str">
        <f>IF(H45="","",IF(H45&lt;0,"EXPIRED",IF(H45&lt;=30,"DUE SOON","VALID")))</f>
        <v/>
      </c>
      <c r="J45" s="8"/>
      <c r="K45" s="8" t="str">
        <f>IF(J45="SUSPENDED","SUSPENDED",IF(I45="","",I45))</f>
        <v/>
      </c>
      <c r="L45" s="8"/>
      <c r="M45" s="8"/>
      <c r="N45" s="8"/>
    </row>
    <row r="46" spans="8:8" ht="15.75" customHeight="1">
      <c r="A46" s="8"/>
      <c r="B46" s="8"/>
      <c r="C46" s="8"/>
      <c r="D46" s="8"/>
      <c r="E46" s="8"/>
      <c r="F46" s="8"/>
      <c r="G46" s="8"/>
      <c r="H46" s="8" t="str">
        <f>IF(G46="","",G46-TODAY())</f>
        <v/>
      </c>
      <c r="I46" s="8" t="str">
        <f>IF(H46="","",IF(H46&lt;0,"EXPIRED",IF(H46&lt;=30,"DUE SOON","VALID")))</f>
        <v/>
      </c>
      <c r="J46" s="8"/>
      <c r="K46" s="8" t="str">
        <f>IF(J46="SUSPENDED","SUSPENDED",IF(I46="","",I46))</f>
        <v/>
      </c>
      <c r="L46" s="8"/>
      <c r="M46" s="8"/>
      <c r="N46" s="8"/>
    </row>
    <row r="47" spans="8:8" ht="15.75" customHeight="1">
      <c r="A47" s="8"/>
      <c r="B47" s="8"/>
      <c r="C47" s="8"/>
      <c r="D47" s="8"/>
      <c r="E47" s="8"/>
      <c r="F47" s="8"/>
      <c r="G47" s="8"/>
      <c r="H47" s="8" t="str">
        <f>IF(G47="","",G47-TODAY())</f>
        <v/>
      </c>
      <c r="I47" s="8" t="str">
        <f>IF(H47="","",IF(H47&lt;0,"EXPIRED",IF(H47&lt;=30,"DUE SOON","VALID")))</f>
        <v/>
      </c>
      <c r="J47" s="8"/>
      <c r="K47" s="8" t="str">
        <f>IF(J47="SUSPENDED","SUSPENDED",IF(I47="","",I47))</f>
        <v/>
      </c>
      <c r="L47" s="8"/>
      <c r="M47" s="8"/>
      <c r="N47" s="8"/>
    </row>
    <row r="48" spans="8:8" ht="15.75" customHeight="1">
      <c r="A48" s="8"/>
      <c r="B48" s="8"/>
      <c r="C48" s="8"/>
      <c r="D48" s="8"/>
      <c r="E48" s="8"/>
      <c r="F48" s="8"/>
      <c r="G48" s="8"/>
      <c r="H48" s="8" t="str">
        <f>IF(G48="","",G48-TODAY())</f>
        <v/>
      </c>
      <c r="I48" s="8" t="str">
        <f>IF(H48="","",IF(H48&lt;0,"EXPIRED",IF(H48&lt;=30,"DUE SOON","VALID")))</f>
        <v/>
      </c>
      <c r="J48" s="8"/>
      <c r="K48" s="8" t="str">
        <f>IF(J48="SUSPENDED","SUSPENDED",IF(I48="","",I48))</f>
        <v/>
      </c>
      <c r="L48" s="8"/>
      <c r="M48" s="8"/>
      <c r="N48" s="8"/>
    </row>
    <row r="49" spans="8:8" ht="15.75" customHeight="1">
      <c r="A49" s="8"/>
      <c r="B49" s="8"/>
      <c r="C49" s="8"/>
      <c r="D49" s="8"/>
      <c r="E49" s="8"/>
      <c r="F49" s="8"/>
      <c r="G49" s="8"/>
      <c r="H49" s="8" t="str">
        <f>IF(G49="","",G49-TODAY())</f>
        <v/>
      </c>
      <c r="I49" s="8" t="str">
        <f>IF(H49="","",IF(H49&lt;0,"EXPIRED",IF(H49&lt;=30,"DUE SOON","VALID")))</f>
        <v/>
      </c>
      <c r="J49" s="8"/>
      <c r="K49" s="8" t="str">
        <f>IF(J49="SUSPENDED","SUSPENDED",IF(I49="","",I49))</f>
        <v/>
      </c>
      <c r="L49" s="8"/>
      <c r="M49" s="8"/>
      <c r="N49" s="8"/>
    </row>
    <row r="50" spans="8:8" ht="15.75" customHeight="1">
      <c r="A50" s="8"/>
      <c r="B50" s="8"/>
      <c r="C50" s="8"/>
      <c r="D50" s="8"/>
      <c r="E50" s="8"/>
      <c r="F50" s="8"/>
      <c r="G50" s="8"/>
      <c r="H50" s="8" t="str">
        <f>IF(G50="","",G50-TODAY())</f>
        <v/>
      </c>
      <c r="I50" s="8" t="str">
        <f>IF(H50="","",IF(H50&lt;0,"EXPIRED",IF(H50&lt;=30,"DUE SOON","VALID")))</f>
        <v/>
      </c>
      <c r="J50" s="8"/>
      <c r="K50" s="8" t="str">
        <f>IF(J50="SUSPENDED","SUSPENDED",IF(I50="","",I50))</f>
        <v/>
      </c>
      <c r="L50" s="8"/>
      <c r="M50" s="8"/>
      <c r="N50" s="8"/>
    </row>
    <row r="51" spans="8:8" ht="15.75" customHeight="1">
      <c r="A51" s="8"/>
      <c r="B51" s="8"/>
      <c r="C51" s="8"/>
      <c r="D51" s="8"/>
      <c r="E51" s="8"/>
      <c r="F51" s="8"/>
      <c r="G51" s="8"/>
      <c r="H51" s="8" t="str">
        <f>IF(G51="","",G51-TODAY())</f>
        <v/>
      </c>
      <c r="I51" s="8" t="str">
        <f>IF(H51="","",IF(H51&lt;0,"EXPIRED",IF(H51&lt;=30,"DUE SOON","VALID")))</f>
        <v/>
      </c>
      <c r="J51" s="8"/>
      <c r="K51" s="8" t="str">
        <f>IF(J51="SUSPENDED","SUSPENDED",IF(I51="","",I51))</f>
        <v/>
      </c>
      <c r="L51" s="8"/>
      <c r="M51" s="8"/>
      <c r="N51" s="8"/>
    </row>
    <row r="52" spans="8:8" ht="15.75" customHeight="1">
      <c r="A52" s="8"/>
      <c r="B52" s="8"/>
      <c r="C52" s="8"/>
      <c r="D52" s="8"/>
      <c r="E52" s="8"/>
      <c r="F52" s="8"/>
      <c r="G52" s="8"/>
      <c r="H52" s="8" t="str">
        <f>IF(G52="","",G52-TODAY())</f>
        <v/>
      </c>
      <c r="I52" s="8" t="str">
        <f>IF(H52="","",IF(H52&lt;0,"EXPIRED",IF(H52&lt;=30,"DUE SOON","VALID")))</f>
        <v/>
      </c>
      <c r="J52" s="8"/>
      <c r="K52" s="8" t="str">
        <f>IF(J52="SUSPENDED","SUSPENDED",IF(I52="","",I52))</f>
        <v/>
      </c>
      <c r="L52" s="8"/>
      <c r="M52" s="8"/>
      <c r="N52" s="8"/>
    </row>
    <row r="53" spans="8:8" ht="15.75" customHeight="1">
      <c r="A53" s="8"/>
      <c r="B53" s="8"/>
      <c r="C53" s="8"/>
      <c r="D53" s="8"/>
      <c r="E53" s="8"/>
      <c r="F53" s="8"/>
      <c r="G53" s="8"/>
      <c r="H53" s="8" t="str">
        <f>IF(G53="","",G53-TODAY())</f>
        <v/>
      </c>
      <c r="I53" s="8" t="str">
        <f>IF(H53="","",IF(H53&lt;0,"EXPIRED",IF(H53&lt;=30,"DUE SOON","VALID")))</f>
        <v/>
      </c>
      <c r="J53" s="8"/>
      <c r="K53" s="8" t="str">
        <f>IF(J53="SUSPENDED","SUSPENDED",IF(I53="","",I53))</f>
        <v/>
      </c>
      <c r="L53" s="8"/>
      <c r="M53" s="8"/>
      <c r="N53" s="8"/>
    </row>
    <row r="54" spans="8:8" ht="15.75" customHeight="1">
      <c r="A54" s="8"/>
      <c r="B54" s="8"/>
      <c r="C54" s="8"/>
      <c r="D54" s="8"/>
      <c r="E54" s="8"/>
      <c r="F54" s="8"/>
      <c r="G54" s="8"/>
      <c r="H54" s="8" t="str">
        <f>IF(G54="","",G54-TODAY())</f>
        <v/>
      </c>
      <c r="I54" s="8" t="str">
        <f>IF(H54="","",IF(H54&lt;0,"EXPIRED",IF(H54&lt;=30,"DUE SOON","VALID")))</f>
        <v/>
      </c>
      <c r="J54" s="8"/>
      <c r="K54" s="8" t="str">
        <f>IF(J54="SUSPENDED","SUSPENDED",IF(I54="","",I54))</f>
        <v/>
      </c>
      <c r="L54" s="8"/>
      <c r="M54" s="8"/>
      <c r="N54" s="8"/>
    </row>
    <row r="55" spans="8:8" ht="15.75" customHeight="1">
      <c r="A55" s="8"/>
      <c r="B55" s="8"/>
      <c r="C55" s="8"/>
      <c r="D55" s="8"/>
      <c r="E55" s="8"/>
      <c r="F55" s="8"/>
      <c r="G55" s="8"/>
      <c r="H55" s="8" t="str">
        <f>IF(G55="","",G55-TODAY())</f>
        <v/>
      </c>
      <c r="I55" s="8" t="str">
        <f>IF(H55="","",IF(H55&lt;0,"EXPIRED",IF(H55&lt;=30,"DUE SOON","VALID")))</f>
        <v/>
      </c>
      <c r="J55" s="8"/>
      <c r="K55" s="8" t="str">
        <f>IF(J55="SUSPENDED","SUSPENDED",IF(I55="","",I55))</f>
        <v/>
      </c>
      <c r="L55" s="8"/>
      <c r="M55" s="8"/>
      <c r="N55" s="8"/>
    </row>
    <row r="56" spans="8:8" ht="15.75" customHeight="1">
      <c r="A56" s="8"/>
      <c r="B56" s="8"/>
      <c r="C56" s="8"/>
      <c r="D56" s="8"/>
      <c r="E56" s="8"/>
      <c r="F56" s="8"/>
      <c r="G56" s="8"/>
      <c r="H56" s="8" t="str">
        <f>IF(G56="","",G56-TODAY())</f>
        <v/>
      </c>
      <c r="I56" s="8" t="str">
        <f>IF(H56="","",IF(H56&lt;0,"EXPIRED",IF(H56&lt;=30,"DUE SOON","VALID")))</f>
        <v/>
      </c>
      <c r="J56" s="8"/>
      <c r="K56" s="8" t="str">
        <f>IF(J56="SUSPENDED","SUSPENDED",IF(I56="","",I56))</f>
        <v/>
      </c>
      <c r="L56" s="8"/>
      <c r="M56" s="8"/>
      <c r="N56" s="8"/>
    </row>
    <row r="57" spans="8:8" ht="15.75" customHeight="1">
      <c r="A57" s="8"/>
      <c r="B57" s="8"/>
      <c r="C57" s="8"/>
      <c r="D57" s="8"/>
      <c r="E57" s="8"/>
      <c r="F57" s="8"/>
      <c r="G57" s="8"/>
      <c r="H57" s="8" t="str">
        <f>IF(G57="","",G57-TODAY())</f>
        <v/>
      </c>
      <c r="I57" s="8" t="str">
        <f>IF(H57="","",IF(H57&lt;0,"EXPIRED",IF(H57&lt;=30,"DUE SOON","VALID")))</f>
        <v/>
      </c>
      <c r="J57" s="8"/>
      <c r="K57" s="8" t="str">
        <f>IF(J57="SUSPENDED","SUSPENDED",IF(I57="","",I57))</f>
        <v/>
      </c>
      <c r="L57" s="8"/>
      <c r="M57" s="8"/>
      <c r="N57" s="8"/>
    </row>
    <row r="58" spans="8:8" ht="15.75" customHeight="1">
      <c r="A58" s="8"/>
      <c r="B58" s="8"/>
      <c r="C58" s="8"/>
      <c r="D58" s="8"/>
      <c r="E58" s="8"/>
      <c r="F58" s="8"/>
      <c r="G58" s="8"/>
      <c r="H58" s="8" t="str">
        <f>IF(G58="","",G58-TODAY())</f>
        <v/>
      </c>
      <c r="I58" s="8" t="str">
        <f>IF(H58="","",IF(H58&lt;0,"EXPIRED",IF(H58&lt;=30,"DUE SOON","VALID")))</f>
        <v/>
      </c>
      <c r="J58" s="8"/>
      <c r="K58" s="8" t="str">
        <f>IF(J58="SUSPENDED","SUSPENDED",IF(I58="","",I58))</f>
        <v/>
      </c>
      <c r="L58" s="8"/>
      <c r="M58" s="8"/>
      <c r="N58" s="8"/>
    </row>
    <row r="59" spans="8:8" ht="15.75" customHeight="1">
      <c r="A59" s="8"/>
      <c r="B59" s="8"/>
      <c r="C59" s="8"/>
      <c r="D59" s="8"/>
      <c r="E59" s="8"/>
      <c r="F59" s="8"/>
      <c r="G59" s="8"/>
      <c r="H59" s="8" t="str">
        <f>IF(G59="","",G59-TODAY())</f>
        <v/>
      </c>
      <c r="I59" s="8" t="str">
        <f>IF(H59="","",IF(H59&lt;0,"EXPIRED",IF(H59&lt;=30,"DUE SOON","VALID")))</f>
        <v/>
      </c>
      <c r="J59" s="8"/>
      <c r="K59" s="8" t="str">
        <f>IF(J59="SUSPENDED","SUSPENDED",IF(I59="","",I59))</f>
        <v/>
      </c>
      <c r="L59" s="8"/>
      <c r="M59" s="8"/>
      <c r="N59" s="8"/>
    </row>
    <row r="60" spans="8:8" ht="15.75" customHeight="1">
      <c r="A60" s="8"/>
      <c r="B60" s="8"/>
      <c r="C60" s="8"/>
      <c r="D60" s="8"/>
      <c r="E60" s="8"/>
      <c r="F60" s="8"/>
      <c r="G60" s="8"/>
      <c r="H60" s="8" t="str">
        <f>IF(G60="","",G60-TODAY())</f>
        <v/>
      </c>
      <c r="I60" s="8" t="str">
        <f>IF(H60="","",IF(H60&lt;0,"EXPIRED",IF(H60&lt;=30,"DUE SOON","VALID")))</f>
        <v/>
      </c>
      <c r="J60" s="8"/>
      <c r="K60" s="8" t="str">
        <f>IF(J60="SUSPENDED","SUSPENDED",IF(I60="","",I60))</f>
        <v/>
      </c>
      <c r="L60" s="8"/>
      <c r="M60" s="8"/>
      <c r="N60" s="8"/>
    </row>
    <row r="61" spans="8:8" ht="15.75" customHeight="1">
      <c r="A61" s="8"/>
      <c r="B61" s="8"/>
      <c r="C61" s="8"/>
      <c r="D61" s="8"/>
      <c r="E61" s="8"/>
      <c r="F61" s="8"/>
      <c r="G61" s="8"/>
      <c r="H61" s="8" t="str">
        <f>IF(G61="","",G61-TODAY())</f>
        <v/>
      </c>
      <c r="I61" s="8" t="str">
        <f>IF(H61="","",IF(H61&lt;0,"EXPIRED",IF(H61&lt;=30,"DUE SOON","VALID")))</f>
        <v/>
      </c>
      <c r="J61" s="8"/>
      <c r="K61" s="8" t="str">
        <f>IF(J61="SUSPENDED","SUSPENDED",IF(I61="","",I61))</f>
        <v/>
      </c>
      <c r="L61" s="8"/>
      <c r="M61" s="8"/>
      <c r="N61" s="8"/>
    </row>
    <row r="62" spans="8:8" ht="15.75" customHeight="1">
      <c r="A62" s="8"/>
      <c r="B62" s="8"/>
      <c r="C62" s="8"/>
      <c r="D62" s="8"/>
      <c r="E62" s="8"/>
      <c r="F62" s="8"/>
      <c r="G62" s="8"/>
      <c r="H62" s="8" t="str">
        <f>IF(G62="","",G62-TODAY())</f>
        <v/>
      </c>
      <c r="I62" s="8" t="str">
        <f>IF(H62="","",IF(H62&lt;0,"EXPIRED",IF(H62&lt;=30,"DUE SOON","VALID")))</f>
        <v/>
      </c>
      <c r="J62" s="8"/>
      <c r="K62" s="8" t="str">
        <f>IF(J62="SUSPENDED","SUSPENDED",IF(I62="","",I62))</f>
        <v/>
      </c>
      <c r="L62" s="8"/>
      <c r="M62" s="8"/>
      <c r="N62" s="8"/>
    </row>
    <row r="63" spans="8:8" ht="15.75" customHeight="1">
      <c r="A63" s="8"/>
      <c r="B63" s="8"/>
      <c r="C63" s="8"/>
      <c r="D63" s="8"/>
      <c r="E63" s="8"/>
      <c r="F63" s="8"/>
      <c r="G63" s="8"/>
      <c r="H63" s="8" t="str">
        <f>IF(G63="","",G63-TODAY())</f>
        <v/>
      </c>
      <c r="I63" s="8" t="str">
        <f>IF(H63="","",IF(H63&lt;0,"EXPIRED",IF(H63&lt;=30,"DUE SOON","VALID")))</f>
        <v/>
      </c>
      <c r="J63" s="8"/>
      <c r="K63" s="8" t="str">
        <f>IF(J63="SUSPENDED","SUSPENDED",IF(I63="","",I63))</f>
        <v/>
      </c>
      <c r="L63" s="8"/>
      <c r="M63" s="8"/>
      <c r="N63" s="8"/>
    </row>
    <row r="64" spans="8:8" ht="15.75" customHeight="1">
      <c r="A64" s="8"/>
      <c r="B64" s="8"/>
      <c r="C64" s="8"/>
      <c r="D64" s="8"/>
      <c r="E64" s="8"/>
      <c r="F64" s="8"/>
      <c r="G64" s="8"/>
      <c r="H64" s="8" t="str">
        <f>IF(G64="","",G64-TODAY())</f>
        <v/>
      </c>
      <c r="I64" s="8" t="str">
        <f>IF(H64="","",IF(H64&lt;0,"EXPIRED",IF(H64&lt;=30,"DUE SOON","VALID")))</f>
        <v/>
      </c>
      <c r="J64" s="8"/>
      <c r="K64" s="8" t="str">
        <f>IF(J64="SUSPENDED","SUSPENDED",IF(I64="","",I64))</f>
        <v/>
      </c>
      <c r="L64" s="8"/>
      <c r="M64" s="8"/>
      <c r="N64" s="8"/>
    </row>
    <row r="65" spans="8:8" ht="15.75" customHeight="1">
      <c r="A65" s="8"/>
      <c r="B65" s="8"/>
      <c r="C65" s="8"/>
      <c r="D65" s="8"/>
      <c r="E65" s="8"/>
      <c r="F65" s="8"/>
      <c r="G65" s="8"/>
      <c r="H65" s="8" t="str">
        <f>IF(G65="","",G65-TODAY())</f>
        <v/>
      </c>
      <c r="I65" s="8" t="str">
        <f>IF(H65="","",IF(H65&lt;0,"EXPIRED",IF(H65&lt;=30,"DUE SOON","VALID")))</f>
        <v/>
      </c>
      <c r="J65" s="8"/>
      <c r="K65" s="8" t="str">
        <f>IF(J65="SUSPENDED","SUSPENDED",IF(I65="","",I65))</f>
        <v/>
      </c>
      <c r="L65" s="8"/>
      <c r="M65" s="8"/>
      <c r="N65" s="8"/>
    </row>
    <row r="66" spans="8:8" ht="15.75" customHeight="1">
      <c r="A66" s="8"/>
      <c r="B66" s="8"/>
      <c r="C66" s="8"/>
      <c r="D66" s="8"/>
      <c r="E66" s="8"/>
      <c r="F66" s="8"/>
      <c r="G66" s="8"/>
      <c r="H66" s="8" t="str">
        <f>IF(G66="","",G66-TODAY())</f>
        <v/>
      </c>
      <c r="I66" s="8" t="str">
        <f>IF(H66="","",IF(H66&lt;0,"EXPIRED",IF(H66&lt;=30,"DUE SOON","VALID")))</f>
        <v/>
      </c>
      <c r="J66" s="8"/>
      <c r="K66" s="8" t="str">
        <f>IF(J66="SUSPENDED","SUSPENDED",IF(I66="","",I66))</f>
        <v/>
      </c>
      <c r="L66" s="8"/>
      <c r="M66" s="8"/>
      <c r="N66" s="8"/>
    </row>
    <row r="67" spans="8:8" ht="15.75" customHeight="1">
      <c r="A67" s="8"/>
      <c r="B67" s="8"/>
      <c r="C67" s="8"/>
      <c r="D67" s="8"/>
      <c r="E67" s="8"/>
      <c r="F67" s="8"/>
      <c r="G67" s="8"/>
      <c r="H67" s="8" t="str">
        <f>IF(G67="","",G67-TODAY())</f>
        <v/>
      </c>
      <c r="I67" s="8" t="str">
        <f>IF(H67="","",IF(H67&lt;0,"EXPIRED",IF(H67&lt;=30,"DUE SOON","VALID")))</f>
        <v/>
      </c>
      <c r="J67" s="8"/>
      <c r="K67" s="8" t="str">
        <f>IF(J67="SUSPENDED","SUSPENDED",IF(I67="","",I67))</f>
        <v/>
      </c>
      <c r="L67" s="8"/>
      <c r="M67" s="8"/>
      <c r="N67" s="8"/>
    </row>
    <row r="68" spans="8:8" ht="15.75" customHeight="1">
      <c r="A68" s="8"/>
      <c r="B68" s="8"/>
      <c r="C68" s="8"/>
      <c r="D68" s="8"/>
      <c r="E68" s="8"/>
      <c r="F68" s="8"/>
      <c r="G68" s="8"/>
      <c r="H68" s="8" t="str">
        <f>IF(G68="","",G68-TODAY())</f>
        <v/>
      </c>
      <c r="I68" s="8" t="str">
        <f>IF(H68="","",IF(H68&lt;0,"EXPIRED",IF(H68&lt;=30,"DUE SOON","VALID")))</f>
        <v/>
      </c>
      <c r="J68" s="8"/>
      <c r="K68" s="8" t="str">
        <f>IF(J68="SUSPENDED","SUSPENDED",IF(I68="","",I68))</f>
        <v/>
      </c>
      <c r="L68" s="8"/>
      <c r="M68" s="8"/>
      <c r="N68" s="8"/>
    </row>
    <row r="69" spans="8:8" ht="15.75" customHeight="1">
      <c r="A69" s="8"/>
      <c r="B69" s="8"/>
      <c r="C69" s="8"/>
      <c r="D69" s="8"/>
      <c r="E69" s="8"/>
      <c r="F69" s="8"/>
      <c r="G69" s="8"/>
      <c r="H69" s="8" t="str">
        <f>IF(G69="","",G69-TODAY())</f>
        <v/>
      </c>
      <c r="I69" s="8" t="str">
        <f>IF(H69="","",IF(H69&lt;0,"EXPIRED",IF(H69&lt;=30,"DUE SOON","VALID")))</f>
        <v/>
      </c>
      <c r="J69" s="8"/>
      <c r="K69" s="8" t="str">
        <f>IF(J69="SUSPENDED","SUSPENDED",IF(I69="","",I69))</f>
        <v/>
      </c>
      <c r="L69" s="8"/>
      <c r="M69" s="8"/>
      <c r="N69" s="8"/>
    </row>
    <row r="70" spans="8:8" ht="15.75" customHeight="1">
      <c r="A70" s="8"/>
      <c r="B70" s="8"/>
      <c r="C70" s="8"/>
      <c r="D70" s="8"/>
      <c r="E70" s="8"/>
      <c r="F70" s="8"/>
      <c r="G70" s="8"/>
      <c r="H70" s="8" t="str">
        <f>IF(G70="","",G70-TODAY())</f>
        <v/>
      </c>
      <c r="I70" s="8" t="str">
        <f>IF(H70="","",IF(H70&lt;0,"EXPIRED",IF(H70&lt;=30,"DUE SOON","VALID")))</f>
        <v/>
      </c>
      <c r="J70" s="8"/>
      <c r="K70" s="8" t="str">
        <f>IF(J70="SUSPENDED","SUSPENDED",IF(I70="","",I70))</f>
        <v/>
      </c>
      <c r="L70" s="8"/>
      <c r="M70" s="8"/>
      <c r="N70" s="8"/>
    </row>
    <row r="71" spans="8:8" ht="15.75" customHeight="1">
      <c r="A71" s="8"/>
      <c r="B71" s="8"/>
      <c r="C71" s="8"/>
      <c r="D71" s="8"/>
      <c r="E71" s="8"/>
      <c r="F71" s="8"/>
      <c r="G71" s="8"/>
      <c r="H71" s="8" t="str">
        <f>IF(G71="","",G71-TODAY())</f>
        <v/>
      </c>
      <c r="I71" s="8" t="str">
        <f>IF(H71="","",IF(H71&lt;0,"EXPIRED",IF(H71&lt;=30,"DUE SOON","VALID")))</f>
        <v/>
      </c>
      <c r="J71" s="8"/>
      <c r="K71" s="8" t="str">
        <f>IF(J71="SUSPENDED","SUSPENDED",IF(I71="","",I71))</f>
        <v/>
      </c>
      <c r="L71" s="8"/>
      <c r="M71" s="8"/>
      <c r="N71" s="8"/>
    </row>
    <row r="72" spans="8:8" ht="15.75" customHeight="1">
      <c r="A72" s="8"/>
      <c r="B72" s="8"/>
      <c r="C72" s="8"/>
      <c r="D72" s="8"/>
      <c r="E72" s="8"/>
      <c r="F72" s="8"/>
      <c r="G72" s="8"/>
      <c r="H72" s="8" t="str">
        <f>IF(G72="","",G72-TODAY())</f>
        <v/>
      </c>
      <c r="I72" s="8" t="str">
        <f>IF(H72="","",IF(H72&lt;0,"EXPIRED",IF(H72&lt;=30,"DUE SOON","VALID")))</f>
        <v/>
      </c>
      <c r="J72" s="8"/>
      <c r="K72" s="8" t="str">
        <f>IF(J72="SUSPENDED","SUSPENDED",IF(I72="","",I72))</f>
        <v/>
      </c>
      <c r="L72" s="8"/>
      <c r="M72" s="8"/>
      <c r="N72" s="8"/>
    </row>
    <row r="73" spans="8:8" ht="15.75" customHeight="1">
      <c r="A73" s="8"/>
      <c r="B73" s="8"/>
      <c r="C73" s="8"/>
      <c r="D73" s="8"/>
      <c r="E73" s="8"/>
      <c r="F73" s="8"/>
      <c r="G73" s="8"/>
      <c r="H73" s="8" t="str">
        <f>IF(G73="","",G73-TODAY())</f>
        <v/>
      </c>
      <c r="I73" s="8" t="str">
        <f>IF(H73="","",IF(H73&lt;0,"EXPIRED",IF(H73&lt;=30,"DUE SOON","VALID")))</f>
        <v/>
      </c>
      <c r="J73" s="8"/>
      <c r="K73" s="8" t="str">
        <f>IF(J73="SUSPENDED","SUSPENDED",IF(I73="","",I73))</f>
        <v/>
      </c>
      <c r="L73" s="8"/>
      <c r="M73" s="8"/>
      <c r="N73" s="8"/>
    </row>
    <row r="74" spans="8:8" ht="15.75" customHeight="1">
      <c r="A74" s="8"/>
      <c r="B74" s="8"/>
      <c r="C74" s="8"/>
      <c r="D74" s="8"/>
      <c r="E74" s="8"/>
      <c r="F74" s="8"/>
      <c r="G74" s="8"/>
      <c r="H74" s="8" t="str">
        <f>IF(G74="","",G74-TODAY())</f>
        <v/>
      </c>
      <c r="I74" s="8" t="str">
        <f>IF(H74="","",IF(H74&lt;0,"EXPIRED",IF(H74&lt;=30,"DUE SOON","VALID")))</f>
        <v/>
      </c>
      <c r="J74" s="8"/>
      <c r="K74" s="8" t="str">
        <f>IF(J74="SUSPENDED","SUSPENDED",IF(I74="","",I74))</f>
        <v/>
      </c>
      <c r="L74" s="8"/>
      <c r="M74" s="8"/>
      <c r="N74" s="8"/>
    </row>
    <row r="75" spans="8:8" ht="15.75" customHeight="1">
      <c r="A75" s="8"/>
      <c r="B75" s="8"/>
      <c r="C75" s="8"/>
      <c r="D75" s="8"/>
      <c r="E75" s="8"/>
      <c r="F75" s="8"/>
      <c r="G75" s="8"/>
      <c r="H75" s="8" t="str">
        <f>IF(G75="","",G75-TODAY())</f>
        <v/>
      </c>
      <c r="I75" s="8" t="str">
        <f>IF(H75="","",IF(H75&lt;0,"EXPIRED",IF(H75&lt;=30,"DUE SOON","VALID")))</f>
        <v/>
      </c>
      <c r="J75" s="8"/>
      <c r="K75" s="8" t="str">
        <f>IF(J75="SUSPENDED","SUSPENDED",IF(I75="","",I75))</f>
        <v/>
      </c>
      <c r="L75" s="8"/>
      <c r="M75" s="8"/>
      <c r="N75" s="8"/>
    </row>
    <row r="76" spans="8:8" ht="15.75" customHeight="1">
      <c r="A76" s="8"/>
      <c r="B76" s="8"/>
      <c r="C76" s="8"/>
      <c r="D76" s="8"/>
      <c r="E76" s="8"/>
      <c r="F76" s="8"/>
      <c r="G76" s="8"/>
      <c r="H76" s="8" t="str">
        <f>IF(G76="","",G76-TODAY())</f>
        <v/>
      </c>
      <c r="I76" s="8" t="str">
        <f>IF(H76="","",IF(H76&lt;0,"EXPIRED",IF(H76&lt;=30,"DUE SOON","VALID")))</f>
        <v/>
      </c>
      <c r="J76" s="8"/>
      <c r="K76" s="8" t="str">
        <f>IF(J76="SUSPENDED","SUSPENDED",IF(I76="","",I76))</f>
        <v/>
      </c>
      <c r="L76" s="8"/>
      <c r="M76" s="8"/>
      <c r="N76" s="8"/>
    </row>
    <row r="77" spans="8:8" ht="15.75" customHeight="1">
      <c r="A77" s="8"/>
      <c r="B77" s="8"/>
      <c r="C77" s="8"/>
      <c r="D77" s="8"/>
      <c r="E77" s="8"/>
      <c r="F77" s="8"/>
      <c r="G77" s="8"/>
      <c r="H77" s="8" t="str">
        <f>IF(G77="","",G77-TODAY())</f>
        <v/>
      </c>
      <c r="I77" s="8" t="str">
        <f>IF(H77="","",IF(H77&lt;0,"EXPIRED",IF(H77&lt;=30,"DUE SOON","VALID")))</f>
        <v/>
      </c>
      <c r="J77" s="8"/>
      <c r="K77" s="8" t="str">
        <f>IF(J77="SUSPENDED","SUSPENDED",IF(I77="","",I77))</f>
        <v/>
      </c>
      <c r="L77" s="8"/>
      <c r="M77" s="8"/>
      <c r="N77" s="8"/>
    </row>
    <row r="78" spans="8:8" ht="15.75" customHeight="1">
      <c r="A78" s="8"/>
      <c r="B78" s="8"/>
      <c r="C78" s="8"/>
      <c r="D78" s="8"/>
      <c r="E78" s="8"/>
      <c r="F78" s="8"/>
      <c r="G78" s="8"/>
      <c r="H78" s="8" t="str">
        <f>IF(G78="","",G78-TODAY())</f>
        <v/>
      </c>
      <c r="I78" s="8" t="str">
        <f>IF(H78="","",IF(H78&lt;0,"EXPIRED",IF(H78&lt;=30,"DUE SOON","VALID")))</f>
        <v/>
      </c>
      <c r="J78" s="8"/>
      <c r="K78" s="8" t="str">
        <f>IF(J78="SUSPENDED","SUSPENDED",IF(I78="","",I78))</f>
        <v/>
      </c>
      <c r="L78" s="8"/>
      <c r="M78" s="8"/>
      <c r="N78" s="8"/>
    </row>
    <row r="79" spans="8:8" ht="15.75" customHeight="1">
      <c r="A79" s="8"/>
      <c r="B79" s="8"/>
      <c r="C79" s="8"/>
      <c r="D79" s="8"/>
      <c r="E79" s="8"/>
      <c r="F79" s="8"/>
      <c r="G79" s="8"/>
      <c r="H79" s="8" t="str">
        <f>IF(G79="","",G79-TODAY())</f>
        <v/>
      </c>
      <c r="I79" s="8" t="str">
        <f>IF(H79="","",IF(H79&lt;0,"EXPIRED",IF(H79&lt;=30,"DUE SOON","VALID")))</f>
        <v/>
      </c>
      <c r="J79" s="8"/>
      <c r="K79" s="8" t="str">
        <f>IF(J79="SUSPENDED","SUSPENDED",IF(I79="","",I79))</f>
        <v/>
      </c>
      <c r="L79" s="8"/>
      <c r="M79" s="8"/>
      <c r="N79" s="8"/>
    </row>
    <row r="80" spans="8:8" ht="15.75" customHeight="1">
      <c r="A80" s="8"/>
      <c r="B80" s="8"/>
      <c r="C80" s="8"/>
      <c r="D80" s="8"/>
      <c r="E80" s="8"/>
      <c r="F80" s="8"/>
      <c r="G80" s="8"/>
      <c r="H80" s="8" t="str">
        <f>IF(G80="","",G80-TODAY())</f>
        <v/>
      </c>
      <c r="I80" s="8" t="str">
        <f>IF(H80="","",IF(H80&lt;0,"EXPIRED",IF(H80&lt;=30,"DUE SOON","VALID")))</f>
        <v/>
      </c>
      <c r="J80" s="8"/>
      <c r="K80" s="8" t="str">
        <f>IF(J80="SUSPENDED","SUSPENDED",IF(I80="","",I80))</f>
        <v/>
      </c>
      <c r="L80" s="8"/>
      <c r="M80" s="8"/>
      <c r="N80" s="8"/>
    </row>
    <row r="81" spans="8:8" ht="15.75" customHeight="1">
      <c r="A81" s="8"/>
      <c r="B81" s="8"/>
      <c r="C81" s="8"/>
      <c r="D81" s="8"/>
      <c r="E81" s="8"/>
      <c r="F81" s="8"/>
      <c r="G81" s="8"/>
      <c r="H81" s="8" t="str">
        <f>IF(G81="","",G81-TODAY())</f>
        <v/>
      </c>
      <c r="I81" s="8" t="str">
        <f>IF(H81="","",IF(H81&lt;0,"EXPIRED",IF(H81&lt;=30,"DUE SOON","VALID")))</f>
        <v/>
      </c>
      <c r="J81" s="8"/>
      <c r="K81" s="8" t="str">
        <f>IF(J81="SUSPENDED","SUSPENDED",IF(I81="","",I81))</f>
        <v/>
      </c>
      <c r="L81" s="8"/>
      <c r="M81" s="8"/>
      <c r="N81" s="8"/>
    </row>
    <row r="82" spans="8:8" ht="15.75" customHeight="1">
      <c r="A82" s="8"/>
      <c r="B82" s="8"/>
      <c r="C82" s="8"/>
      <c r="D82" s="8"/>
      <c r="E82" s="8"/>
      <c r="F82" s="8"/>
      <c r="G82" s="8"/>
      <c r="H82" s="8" t="str">
        <f>IF(G82="","",G82-TODAY())</f>
        <v/>
      </c>
      <c r="I82" s="8" t="str">
        <f>IF(H82="","",IF(H82&lt;0,"EXPIRED",IF(H82&lt;=30,"DUE SOON","VALID")))</f>
        <v/>
      </c>
      <c r="J82" s="8"/>
      <c r="K82" s="8" t="str">
        <f>IF(J82="SUSPENDED","SUSPENDED",IF(I82="","",I82))</f>
        <v/>
      </c>
      <c r="L82" s="8"/>
      <c r="M82" s="8"/>
      <c r="N82" s="8"/>
    </row>
    <row r="83" spans="8:8" ht="15.75" customHeight="1">
      <c r="A83" s="8"/>
      <c r="B83" s="8"/>
      <c r="C83" s="8"/>
      <c r="D83" s="8"/>
      <c r="E83" s="8"/>
      <c r="F83" s="8"/>
      <c r="G83" s="8"/>
      <c r="H83" s="8" t="str">
        <f>IF(G83="","",G83-TODAY())</f>
        <v/>
      </c>
      <c r="I83" s="8" t="str">
        <f>IF(H83="","",IF(H83&lt;0,"EXPIRED",IF(H83&lt;=30,"DUE SOON","VALID")))</f>
        <v/>
      </c>
      <c r="J83" s="8"/>
      <c r="K83" s="8" t="str">
        <f>IF(J83="SUSPENDED","SUSPENDED",IF(I83="","",I83))</f>
        <v/>
      </c>
      <c r="L83" s="8"/>
      <c r="M83" s="8"/>
      <c r="N83" s="8"/>
    </row>
    <row r="84" spans="8:8" ht="15.75" customHeight="1">
      <c r="A84" s="8"/>
      <c r="B84" s="8"/>
      <c r="C84" s="8"/>
      <c r="D84" s="8"/>
      <c r="E84" s="8"/>
      <c r="F84" s="8"/>
      <c r="G84" s="8"/>
      <c r="H84" s="8" t="str">
        <f>IF(G84="","",G84-TODAY())</f>
        <v/>
      </c>
      <c r="I84" s="8" t="str">
        <f>IF(H84="","",IF(H84&lt;0,"EXPIRED",IF(H84&lt;=30,"DUE SOON","VALID")))</f>
        <v/>
      </c>
      <c r="J84" s="8"/>
      <c r="K84" s="8" t="str">
        <f>IF(J84="SUSPENDED","SUSPENDED",IF(I84="","",I84))</f>
        <v/>
      </c>
      <c r="L84" s="8"/>
      <c r="M84" s="8"/>
      <c r="N84" s="8"/>
    </row>
    <row r="85" spans="8:8" ht="15.75" customHeight="1">
      <c r="A85" s="8"/>
      <c r="B85" s="8"/>
      <c r="C85" s="8"/>
      <c r="D85" s="8"/>
      <c r="E85" s="8"/>
      <c r="F85" s="8"/>
      <c r="G85" s="8"/>
      <c r="H85" s="8" t="str">
        <f>IF(G85="","",G85-TODAY())</f>
        <v/>
      </c>
      <c r="I85" s="8" t="str">
        <f>IF(H85="","",IF(H85&lt;0,"EXPIRED",IF(H85&lt;=30,"DUE SOON","VALID")))</f>
        <v/>
      </c>
      <c r="J85" s="8"/>
      <c r="K85" s="8" t="str">
        <f>IF(J85="SUSPENDED","SUSPENDED",IF(I85="","",I85))</f>
        <v/>
      </c>
      <c r="L85" s="8"/>
      <c r="M85" s="8"/>
      <c r="N85" s="8"/>
    </row>
    <row r="86" spans="8:8" ht="15.75" customHeight="1">
      <c r="A86" s="8"/>
      <c r="B86" s="8"/>
      <c r="C86" s="8"/>
      <c r="D86" s="8"/>
      <c r="E86" s="8"/>
      <c r="F86" s="8"/>
      <c r="G86" s="8"/>
      <c r="H86" s="8" t="str">
        <f>IF(G86="","",G86-TODAY())</f>
        <v/>
      </c>
      <c r="I86" s="8" t="str">
        <f>IF(H86="","",IF(H86&lt;0,"EXPIRED",IF(H86&lt;=30,"DUE SOON","VALID")))</f>
        <v/>
      </c>
      <c r="J86" s="8"/>
      <c r="K86" s="8" t="str">
        <f>IF(J86="SUSPENDED","SUSPENDED",IF(I86="","",I86))</f>
        <v/>
      </c>
      <c r="L86" s="8"/>
      <c r="M86" s="8"/>
      <c r="N86" s="8"/>
    </row>
    <row r="87" spans="8:8" ht="15.75" customHeight="1">
      <c r="A87" s="8"/>
      <c r="B87" s="8"/>
      <c r="C87" s="8"/>
      <c r="D87" s="8"/>
      <c r="E87" s="8"/>
      <c r="F87" s="8"/>
      <c r="G87" s="8"/>
      <c r="H87" s="8" t="str">
        <f>IF(G87="","",G87-TODAY())</f>
        <v/>
      </c>
      <c r="I87" s="8" t="str">
        <f>IF(H87="","",IF(H87&lt;0,"EXPIRED",IF(H87&lt;=30,"DUE SOON","VALID")))</f>
        <v/>
      </c>
      <c r="J87" s="8"/>
      <c r="K87" s="8" t="str">
        <f>IF(J87="SUSPENDED","SUSPENDED",IF(I87="","",I87))</f>
        <v/>
      </c>
      <c r="L87" s="8"/>
      <c r="M87" s="8"/>
      <c r="N87" s="8"/>
    </row>
    <row r="88" spans="8:8" ht="15.75" customHeight="1">
      <c r="A88" s="8"/>
      <c r="B88" s="8"/>
      <c r="C88" s="8"/>
      <c r="D88" s="8"/>
      <c r="E88" s="8"/>
      <c r="F88" s="8"/>
      <c r="G88" s="8"/>
      <c r="H88" s="8" t="str">
        <f>IF(G88="","",G88-TODAY())</f>
        <v/>
      </c>
      <c r="I88" s="8" t="str">
        <f>IF(H88="","",IF(H88&lt;0,"EXPIRED",IF(H88&lt;=30,"DUE SOON","VALID")))</f>
        <v/>
      </c>
      <c r="J88" s="8"/>
      <c r="K88" s="8" t="str">
        <f>IF(J88="SUSPENDED","SUSPENDED",IF(I88="","",I88))</f>
        <v/>
      </c>
      <c r="L88" s="8"/>
      <c r="M88" s="8"/>
      <c r="N88" s="8"/>
    </row>
    <row r="89" spans="8:8" ht="15.75" customHeight="1">
      <c r="A89" s="8"/>
      <c r="B89" s="8"/>
      <c r="C89" s="8"/>
      <c r="D89" s="8"/>
      <c r="E89" s="8"/>
      <c r="F89" s="8"/>
      <c r="G89" s="8"/>
      <c r="H89" s="8" t="str">
        <f>IF(G89="","",G89-TODAY())</f>
        <v/>
      </c>
      <c r="I89" s="8" t="str">
        <f>IF(H89="","",IF(H89&lt;0,"EXPIRED",IF(H89&lt;=30,"DUE SOON","VALID")))</f>
        <v/>
      </c>
      <c r="J89" s="8"/>
      <c r="K89" s="8" t="str">
        <f>IF(J89="SUSPENDED","SUSPENDED",IF(I89="","",I89))</f>
        <v/>
      </c>
      <c r="L89" s="8"/>
      <c r="M89" s="8"/>
      <c r="N89" s="8"/>
    </row>
    <row r="90" spans="8:8" ht="15.75" customHeight="1">
      <c r="A90" s="8"/>
      <c r="B90" s="8"/>
      <c r="C90" s="8"/>
      <c r="D90" s="8"/>
      <c r="E90" s="8"/>
      <c r="F90" s="8"/>
      <c r="G90" s="8"/>
      <c r="H90" s="8" t="str">
        <f>IF(G90="","",G90-TODAY())</f>
        <v/>
      </c>
      <c r="I90" s="8" t="str">
        <f>IF(H90="","",IF(H90&lt;0,"EXPIRED",IF(H90&lt;=30,"DUE SOON","VALID")))</f>
        <v/>
      </c>
      <c r="J90" s="8"/>
      <c r="K90" s="8" t="str">
        <f>IF(J90="SUSPENDED","SUSPENDED",IF(I90="","",I90))</f>
        <v/>
      </c>
      <c r="L90" s="8"/>
      <c r="M90" s="8"/>
      <c r="N90" s="8"/>
    </row>
    <row r="91" spans="8:8" ht="15.75" customHeight="1">
      <c r="A91" s="8"/>
      <c r="B91" s="8"/>
      <c r="C91" s="8"/>
      <c r="D91" s="8"/>
      <c r="E91" s="8"/>
      <c r="F91" s="8"/>
      <c r="G91" s="8"/>
      <c r="H91" s="8" t="str">
        <f>IF(G91="","",G91-TODAY())</f>
        <v/>
      </c>
      <c r="I91" s="8" t="str">
        <f>IF(H91="","",IF(H91&lt;0,"EXPIRED",IF(H91&lt;=30,"DUE SOON","VALID")))</f>
        <v/>
      </c>
      <c r="J91" s="8"/>
      <c r="K91" s="8" t="str">
        <f>IF(J91="SUSPENDED","SUSPENDED",IF(I91="","",I91))</f>
        <v/>
      </c>
      <c r="L91" s="8"/>
      <c r="M91" s="8"/>
      <c r="N91" s="8"/>
    </row>
    <row r="92" spans="8:8" ht="15.75" customHeight="1">
      <c r="A92" s="8"/>
      <c r="B92" s="8"/>
      <c r="C92" s="8"/>
      <c r="D92" s="8"/>
      <c r="E92" s="8"/>
      <c r="F92" s="8"/>
      <c r="G92" s="8"/>
      <c r="H92" s="8" t="str">
        <f>IF(G92="","",G92-TODAY())</f>
        <v/>
      </c>
      <c r="I92" s="8" t="str">
        <f>IF(H92="","",IF(H92&lt;0,"EXPIRED",IF(H92&lt;=30,"DUE SOON","VALID")))</f>
        <v/>
      </c>
      <c r="J92" s="8"/>
      <c r="K92" s="8" t="str">
        <f>IF(J92="SUSPENDED","SUSPENDED",IF(I92="","",I92))</f>
        <v/>
      </c>
      <c r="L92" s="8"/>
      <c r="M92" s="8"/>
      <c r="N92" s="8"/>
    </row>
    <row r="93" spans="8:8" ht="15.75" customHeight="1">
      <c r="A93" s="8"/>
      <c r="B93" s="8"/>
      <c r="C93" s="8"/>
      <c r="D93" s="8"/>
      <c r="E93" s="8"/>
      <c r="F93" s="8"/>
      <c r="G93" s="8"/>
      <c r="H93" s="8" t="str">
        <f>IF(G93="","",G93-TODAY())</f>
        <v/>
      </c>
      <c r="I93" s="8" t="str">
        <f>IF(H93="","",IF(H93&lt;0,"EXPIRED",IF(H93&lt;=30,"DUE SOON","VALID")))</f>
        <v/>
      </c>
      <c r="J93" s="8"/>
      <c r="K93" s="8" t="str">
        <f>IF(J93="SUSPENDED","SUSPENDED",IF(I93="","",I93))</f>
        <v/>
      </c>
      <c r="L93" s="8"/>
      <c r="M93" s="8"/>
      <c r="N93" s="8"/>
    </row>
    <row r="94" spans="8:8" ht="15.75" customHeight="1">
      <c r="A94" s="8"/>
      <c r="B94" s="8"/>
      <c r="C94" s="8"/>
      <c r="D94" s="8"/>
      <c r="E94" s="8"/>
      <c r="F94" s="8"/>
      <c r="G94" s="8"/>
      <c r="H94" s="8" t="str">
        <f>IF(G94="","",G94-TODAY())</f>
        <v/>
      </c>
      <c r="I94" s="8" t="str">
        <f>IF(H94="","",IF(H94&lt;0,"EXPIRED",IF(H94&lt;=30,"DUE SOON","VALID")))</f>
        <v/>
      </c>
      <c r="J94" s="8"/>
      <c r="K94" s="8" t="str">
        <f>IF(J94="SUSPENDED","SUSPENDED",IF(I94="","",I94))</f>
        <v/>
      </c>
      <c r="L94" s="8"/>
      <c r="M94" s="8"/>
      <c r="N94" s="8"/>
    </row>
    <row r="95" spans="8:8" ht="15.75" customHeight="1">
      <c r="A95" s="8"/>
      <c r="B95" s="8"/>
      <c r="C95" s="8"/>
      <c r="D95" s="8"/>
      <c r="E95" s="8"/>
      <c r="F95" s="8"/>
      <c r="G95" s="8"/>
      <c r="H95" s="8" t="str">
        <f>IF(G95="","",G95-TODAY())</f>
        <v/>
      </c>
      <c r="I95" s="8" t="str">
        <f>IF(H95="","",IF(H95&lt;0,"EXPIRED",IF(H95&lt;=30,"DUE SOON","VALID")))</f>
        <v/>
      </c>
      <c r="J95" s="8"/>
      <c r="K95" s="8" t="str">
        <f>IF(J95="SUSPENDED","SUSPENDED",IF(I95="","",I95))</f>
        <v/>
      </c>
      <c r="L95" s="8"/>
      <c r="M95" s="8"/>
      <c r="N95" s="8"/>
    </row>
    <row r="96" spans="8:8" ht="15.75" customHeight="1">
      <c r="A96" s="8"/>
      <c r="B96" s="8"/>
      <c r="C96" s="8"/>
      <c r="D96" s="8"/>
      <c r="E96" s="8"/>
      <c r="F96" s="8"/>
      <c r="G96" s="8"/>
      <c r="H96" s="8" t="str">
        <f>IF(G96="","",G96-TODAY())</f>
        <v/>
      </c>
      <c r="I96" s="8" t="str">
        <f>IF(H96="","",IF(H96&lt;0,"EXPIRED",IF(H96&lt;=30,"DUE SOON","VALID")))</f>
        <v/>
      </c>
      <c r="J96" s="8"/>
      <c r="K96" s="8" t="str">
        <f>IF(J96="SUSPENDED","SUSPENDED",IF(I96="","",I96))</f>
        <v/>
      </c>
      <c r="L96" s="8"/>
      <c r="M96" s="8"/>
      <c r="N96" s="8"/>
    </row>
    <row r="97" spans="8:8" ht="15.75" customHeight="1">
      <c r="A97" s="8"/>
      <c r="B97" s="8"/>
      <c r="C97" s="8"/>
      <c r="D97" s="8"/>
      <c r="E97" s="8"/>
      <c r="F97" s="8"/>
      <c r="G97" s="8"/>
      <c r="H97" s="8" t="str">
        <f>IF(G97="","",G97-TODAY())</f>
        <v/>
      </c>
      <c r="I97" s="8" t="str">
        <f>IF(H97="","",IF(H97&lt;0,"EXPIRED",IF(H97&lt;=30,"DUE SOON","VALID")))</f>
        <v/>
      </c>
      <c r="J97" s="8"/>
      <c r="K97" s="8" t="str">
        <f>IF(J97="SUSPENDED","SUSPENDED",IF(I97="","",I97))</f>
        <v/>
      </c>
      <c r="L97" s="8"/>
      <c r="M97" s="8"/>
      <c r="N97" s="8"/>
    </row>
    <row r="98" spans="8:8" ht="15.75" customHeight="1">
      <c r="A98" s="8"/>
      <c r="B98" s="8"/>
      <c r="C98" s="8"/>
      <c r="D98" s="8"/>
      <c r="E98" s="8"/>
      <c r="F98" s="8"/>
      <c r="G98" s="8"/>
      <c r="H98" s="8" t="str">
        <f>IF(G98="","",G98-TODAY())</f>
        <v/>
      </c>
      <c r="I98" s="8" t="str">
        <f>IF(H98="","",IF(H98&lt;0,"EXPIRED",IF(H98&lt;=30,"DUE SOON","VALID")))</f>
        <v/>
      </c>
      <c r="J98" s="8"/>
      <c r="K98" s="8" t="str">
        <f>IF(J98="SUSPENDED","SUSPENDED",IF(I98="","",I98))</f>
        <v/>
      </c>
      <c r="L98" s="8"/>
      <c r="M98" s="8"/>
      <c r="N98" s="8"/>
    </row>
    <row r="99" spans="8:8" ht="15.75" customHeight="1">
      <c r="A99" s="8"/>
      <c r="B99" s="8"/>
      <c r="C99" s="8"/>
      <c r="D99" s="8"/>
      <c r="E99" s="8"/>
      <c r="F99" s="8"/>
      <c r="G99" s="8"/>
      <c r="H99" s="8" t="str">
        <f>IF(G99="","",G99-TODAY())</f>
        <v/>
      </c>
      <c r="I99" s="8" t="str">
        <f>IF(H99="","",IF(H99&lt;0,"EXPIRED",IF(H99&lt;=30,"DUE SOON","VALID")))</f>
        <v/>
      </c>
      <c r="J99" s="8"/>
      <c r="K99" s="8" t="str">
        <f>IF(J99="SUSPENDED","SUSPENDED",IF(I99="","",I99))</f>
        <v/>
      </c>
      <c r="L99" s="8"/>
      <c r="M99" s="8"/>
      <c r="N99" s="8"/>
    </row>
    <row r="100" spans="8:8" ht="15.75" customHeight="1">
      <c r="A100" s="8"/>
      <c r="B100" s="8"/>
      <c r="C100" s="8"/>
      <c r="D100" s="8"/>
      <c r="E100" s="8"/>
      <c r="F100" s="8"/>
      <c r="G100" s="8"/>
      <c r="H100" s="8" t="str">
        <f>IF(G100="","",G100-TODAY())</f>
        <v/>
      </c>
      <c r="I100" s="8" t="str">
        <f>IF(H100="","",IF(H100&lt;0,"EXPIRED",IF(H100&lt;=30,"DUE SOON","VALID")))</f>
        <v/>
      </c>
      <c r="J100" s="8"/>
      <c r="K100" s="8" t="str">
        <f>IF(J100="SUSPENDED","SUSPENDED",IF(I100="","",I100))</f>
        <v/>
      </c>
      <c r="L100" s="8"/>
      <c r="M100" s="8"/>
      <c r="N100" s="8"/>
    </row>
    <row r="101" spans="8:8" ht="15.75" customHeight="1">
      <c r="A101" s="8"/>
      <c r="B101" s="8"/>
      <c r="C101" s="8"/>
      <c r="D101" s="8"/>
      <c r="E101" s="8"/>
      <c r="F101" s="8"/>
      <c r="G101" s="8"/>
      <c r="H101" s="8" t="str">
        <f>IF(G101="","",G101-TODAY())</f>
        <v/>
      </c>
      <c r="I101" s="8" t="str">
        <f>IF(H101="","",IF(H101&lt;0,"EXPIRED",IF(H101&lt;=30,"DUE SOON","VALID")))</f>
        <v/>
      </c>
      <c r="J101" s="8"/>
      <c r="K101" s="8" t="str">
        <f>IF(J101="SUSPENDED","SUSPENDED",IF(I101="","",I101))</f>
        <v/>
      </c>
      <c r="L101" s="8"/>
      <c r="M101" s="8"/>
      <c r="N101" s="8"/>
    </row>
    <row r="102" spans="8:8" ht="15.75" customHeight="1">
      <c r="A102" s="8"/>
      <c r="B102" s="8"/>
      <c r="C102" s="8"/>
      <c r="D102" s="8"/>
      <c r="E102" s="8"/>
      <c r="F102" s="8"/>
      <c r="G102" s="8"/>
      <c r="H102" s="8" t="str">
        <f>IF(G102="","",G102-TODAY())</f>
        <v/>
      </c>
      <c r="I102" s="8" t="str">
        <f>IF(H102="","",IF(H102&lt;0,"EXPIRED",IF(H102&lt;=30,"DUE SOON","VALID")))</f>
        <v/>
      </c>
      <c r="J102" s="8"/>
      <c r="K102" s="8" t="str">
        <f>IF(J102="SUSPENDED","SUSPENDED",IF(I102="","",I102))</f>
        <v/>
      </c>
      <c r="L102" s="8"/>
      <c r="M102" s="8"/>
      <c r="N102" s="8"/>
    </row>
    <row r="103" spans="8:8" ht="15.75" customHeight="1">
      <c r="A103" s="8"/>
      <c r="B103" s="8"/>
      <c r="C103" s="8"/>
      <c r="D103" s="8"/>
      <c r="E103" s="8"/>
      <c r="F103" s="8"/>
      <c r="G103" s="8"/>
      <c r="H103" s="8" t="str">
        <f>IF(G103="","",G103-TODAY())</f>
        <v/>
      </c>
      <c r="I103" s="8" t="str">
        <f>IF(H103="","",IF(H103&lt;0,"EXPIRED",IF(H103&lt;=30,"DUE SOON","VALID")))</f>
        <v/>
      </c>
      <c r="J103" s="8"/>
      <c r="K103" s="8" t="str">
        <f>IF(J103="SUSPENDED","SUSPENDED",IF(I103="","",I103))</f>
        <v/>
      </c>
      <c r="L103" s="8"/>
      <c r="M103" s="8"/>
      <c r="N103" s="8"/>
    </row>
    <row r="104" spans="8:8" ht="15.75" customHeight="1">
      <c r="A104" s="8"/>
      <c r="B104" s="8"/>
      <c r="C104" s="8"/>
      <c r="D104" s="8"/>
      <c r="E104" s="8"/>
      <c r="F104" s="8"/>
      <c r="G104" s="8"/>
      <c r="H104" s="8" t="str">
        <f>IF(G104="","",G104-TODAY())</f>
        <v/>
      </c>
      <c r="I104" s="8" t="str">
        <f>IF(H104="","",IF(H104&lt;0,"EXPIRED",IF(H104&lt;=30,"DUE SOON","VALID")))</f>
        <v/>
      </c>
      <c r="J104" s="8"/>
      <c r="K104" s="8" t="str">
        <f>IF(J104="SUSPENDED","SUSPENDED",IF(I104="","",I104))</f>
        <v/>
      </c>
      <c r="L104" s="8"/>
      <c r="M104" s="8"/>
      <c r="N104" s="8"/>
    </row>
    <row r="105" spans="8:8" ht="15.75" customHeight="1">
      <c r="A105" s="8"/>
      <c r="B105" s="8"/>
      <c r="C105" s="8"/>
      <c r="D105" s="8"/>
      <c r="E105" s="8"/>
      <c r="F105" s="8"/>
      <c r="G105" s="8"/>
      <c r="H105" s="8" t="str">
        <f>IF(G105="","",G105-TODAY())</f>
        <v/>
      </c>
      <c r="I105" s="8" t="str">
        <f>IF(H105="","",IF(H105&lt;0,"EXPIRED",IF(H105&lt;=30,"DUE SOON","VALID")))</f>
        <v/>
      </c>
      <c r="J105" s="8"/>
      <c r="K105" s="8" t="str">
        <f>IF(J105="SUSPENDED","SUSPENDED",IF(I105="","",I105))</f>
        <v/>
      </c>
      <c r="L105" s="8"/>
      <c r="M105" s="8"/>
      <c r="N105" s="8"/>
    </row>
    <row r="106" spans="8:8" ht="15.75" customHeight="1">
      <c r="A106" s="8"/>
      <c r="B106" s="8"/>
      <c r="C106" s="8"/>
      <c r="D106" s="8"/>
      <c r="E106" s="8"/>
      <c r="F106" s="8"/>
      <c r="G106" s="8"/>
      <c r="H106" s="8" t="str">
        <f>IF(G106="","",G106-TODAY())</f>
        <v/>
      </c>
      <c r="I106" s="8" t="str">
        <f>IF(H106="","",IF(H106&lt;0,"EXPIRED",IF(H106&lt;=30,"DUE SOON","VALID")))</f>
        <v/>
      </c>
      <c r="J106" s="8"/>
      <c r="K106" s="8" t="str">
        <f>IF(J106="SUSPENDED","SUSPENDED",IF(I106="","",I106))</f>
        <v/>
      </c>
      <c r="L106" s="8"/>
      <c r="M106" s="8"/>
      <c r="N106" s="8"/>
    </row>
    <row r="107" spans="8:8" ht="15.75" customHeight="1">
      <c r="A107" s="8"/>
      <c r="B107" s="8"/>
      <c r="C107" s="8"/>
      <c r="D107" s="8"/>
      <c r="E107" s="8"/>
      <c r="F107" s="8"/>
      <c r="G107" s="8"/>
      <c r="H107" s="8" t="str">
        <f>IF(G107="","",G107-TODAY())</f>
        <v/>
      </c>
      <c r="I107" s="8" t="str">
        <f>IF(H107="","",IF(H107&lt;0,"EXPIRED",IF(H107&lt;=30,"DUE SOON","VALID")))</f>
        <v/>
      </c>
      <c r="J107" s="8"/>
      <c r="K107" s="8" t="str">
        <f>IF(J107="SUSPENDED","SUSPENDED",IF(I107="","",I107))</f>
        <v/>
      </c>
      <c r="L107" s="8"/>
      <c r="M107" s="8"/>
      <c r="N107" s="8"/>
    </row>
    <row r="108" spans="8:8" ht="15.75" customHeight="1">
      <c r="A108" s="8"/>
      <c r="B108" s="8"/>
      <c r="C108" s="8"/>
      <c r="D108" s="8"/>
      <c r="E108" s="8"/>
      <c r="F108" s="8"/>
      <c r="G108" s="8"/>
      <c r="H108" s="8" t="str">
        <f>IF(G108="","",G108-TODAY())</f>
        <v/>
      </c>
      <c r="I108" s="8" t="str">
        <f>IF(H108="","",IF(H108&lt;0,"EXPIRED",IF(H108&lt;=30,"DUE SOON","VALID")))</f>
        <v/>
      </c>
      <c r="J108" s="8"/>
      <c r="K108" s="8" t="str">
        <f>IF(J108="SUSPENDED","SUSPENDED",IF(I108="","",I108))</f>
        <v/>
      </c>
      <c r="L108" s="8"/>
      <c r="M108" s="8"/>
      <c r="N108" s="8"/>
    </row>
    <row r="109" spans="8:8" ht="15.75" customHeight="1">
      <c r="A109" s="8"/>
      <c r="B109" s="8"/>
      <c r="C109" s="8"/>
      <c r="D109" s="8"/>
      <c r="E109" s="8"/>
      <c r="F109" s="8"/>
      <c r="G109" s="8"/>
      <c r="H109" s="8" t="str">
        <f>IF(G109="","",G109-TODAY())</f>
        <v/>
      </c>
      <c r="I109" s="8" t="str">
        <f>IF(H109="","",IF(H109&lt;0,"EXPIRED",IF(H109&lt;=30,"DUE SOON","VALID")))</f>
        <v/>
      </c>
      <c r="J109" s="8"/>
      <c r="K109" s="8" t="str">
        <f>IF(J109="SUSPENDED","SUSPENDED",IF(I109="","",I109))</f>
        <v/>
      </c>
      <c r="L109" s="8"/>
      <c r="M109" s="8"/>
      <c r="N109" s="8"/>
    </row>
    <row r="110" spans="8:8" ht="15.75" customHeight="1">
      <c r="A110" s="8"/>
      <c r="B110" s="8"/>
      <c r="C110" s="8"/>
      <c r="D110" s="8"/>
      <c r="E110" s="8"/>
      <c r="F110" s="8"/>
      <c r="G110" s="8"/>
      <c r="H110" s="8" t="str">
        <f>IF(G110="","",G110-TODAY())</f>
        <v/>
      </c>
      <c r="I110" s="8" t="str">
        <f>IF(H110="","",IF(H110&lt;0,"EXPIRED",IF(H110&lt;=30,"DUE SOON","VALID")))</f>
        <v/>
      </c>
      <c r="J110" s="8"/>
      <c r="K110" s="8" t="str">
        <f>IF(J110="SUSPENDED","SUSPENDED",IF(I110="","",I110))</f>
        <v/>
      </c>
      <c r="L110" s="8"/>
      <c r="M110" s="8"/>
      <c r="N110" s="8"/>
    </row>
    <row r="111" spans="8:8" ht="15.75" customHeight="1">
      <c r="A111" s="8"/>
      <c r="B111" s="8"/>
      <c r="C111" s="8"/>
      <c r="D111" s="8"/>
      <c r="E111" s="8"/>
      <c r="F111" s="8"/>
      <c r="G111" s="8"/>
      <c r="H111" s="8" t="str">
        <f>IF(G111="","",G111-TODAY())</f>
        <v/>
      </c>
      <c r="I111" s="8" t="str">
        <f>IF(H111="","",IF(H111&lt;0,"EXPIRED",IF(H111&lt;=30,"DUE SOON","VALID")))</f>
        <v/>
      </c>
      <c r="J111" s="8"/>
      <c r="K111" s="8" t="str">
        <f>IF(J111="SUSPENDED","SUSPENDED",IF(I111="","",I111))</f>
        <v/>
      </c>
      <c r="L111" s="8"/>
      <c r="M111" s="8"/>
      <c r="N111" s="8"/>
    </row>
    <row r="112" spans="8:8" ht="15.75" customHeight="1">
      <c r="A112" s="8"/>
      <c r="B112" s="8"/>
      <c r="C112" s="8"/>
      <c r="D112" s="8"/>
      <c r="E112" s="8"/>
      <c r="F112" s="8"/>
      <c r="G112" s="8"/>
      <c r="H112" s="8" t="str">
        <f>IF(G112="","",G112-TODAY())</f>
        <v/>
      </c>
      <c r="I112" s="8" t="str">
        <f>IF(H112="","",IF(H112&lt;0,"EXPIRED",IF(H112&lt;=30,"DUE SOON","VALID")))</f>
        <v/>
      </c>
      <c r="J112" s="8"/>
      <c r="K112" s="8" t="str">
        <f>IF(J112="SUSPENDED","SUSPENDED",IF(I112="","",I112))</f>
        <v/>
      </c>
      <c r="L112" s="8"/>
      <c r="M112" s="8"/>
      <c r="N112" s="8"/>
    </row>
    <row r="113" spans="8:8" ht="15.75" customHeight="1">
      <c r="A113" s="8"/>
      <c r="B113" s="8"/>
      <c r="C113" s="8"/>
      <c r="D113" s="8"/>
      <c r="E113" s="8"/>
      <c r="F113" s="8"/>
      <c r="G113" s="8"/>
      <c r="H113" s="8" t="str">
        <f>IF(G113="","",G113-TODAY())</f>
        <v/>
      </c>
      <c r="I113" s="8" t="str">
        <f>IF(H113="","",IF(H113&lt;0,"EXPIRED",IF(H113&lt;=30,"DUE SOON","VALID")))</f>
        <v/>
      </c>
      <c r="J113" s="8"/>
      <c r="K113" s="8" t="str">
        <f>IF(J113="SUSPENDED","SUSPENDED",IF(I113="","",I113))</f>
        <v/>
      </c>
      <c r="L113" s="8"/>
      <c r="M113" s="8"/>
      <c r="N113" s="8"/>
    </row>
    <row r="114" spans="8:8" ht="15.75" customHeight="1">
      <c r="A114" s="8"/>
      <c r="B114" s="8"/>
      <c r="C114" s="8"/>
      <c r="D114" s="8"/>
      <c r="E114" s="8"/>
      <c r="F114" s="8"/>
      <c r="G114" s="8"/>
      <c r="H114" s="8" t="str">
        <f>IF(G114="","",G114-TODAY())</f>
        <v/>
      </c>
      <c r="I114" s="8" t="str">
        <f>IF(H114="","",IF(H114&lt;0,"EXPIRED",IF(H114&lt;=30,"DUE SOON","VALID")))</f>
        <v/>
      </c>
      <c r="J114" s="8"/>
      <c r="K114" s="8" t="str">
        <f>IF(J114="SUSPENDED","SUSPENDED",IF(I114="","",I114))</f>
        <v/>
      </c>
      <c r="L114" s="8"/>
      <c r="M114" s="8"/>
      <c r="N114" s="8"/>
    </row>
    <row r="115" spans="8:8" ht="15.75" customHeight="1">
      <c r="A115" s="8"/>
      <c r="B115" s="8"/>
      <c r="C115" s="8"/>
      <c r="D115" s="8"/>
      <c r="E115" s="8"/>
      <c r="F115" s="8"/>
      <c r="G115" s="8"/>
      <c r="H115" s="8" t="str">
        <f>IF(G115="","",G115-TODAY())</f>
        <v/>
      </c>
      <c r="I115" s="8" t="str">
        <f>IF(H115="","",IF(H115&lt;0,"EXPIRED",IF(H115&lt;=30,"DUE SOON","VALID")))</f>
        <v/>
      </c>
      <c r="J115" s="8"/>
      <c r="K115" s="8" t="str">
        <f>IF(J115="SUSPENDED","SUSPENDED",IF(I115="","",I115))</f>
        <v/>
      </c>
      <c r="L115" s="8"/>
      <c r="M115" s="8"/>
      <c r="N115" s="8"/>
    </row>
    <row r="116" spans="8:8" ht="15.75" customHeight="1">
      <c r="A116" s="8"/>
      <c r="B116" s="8"/>
      <c r="C116" s="8"/>
      <c r="D116" s="8"/>
      <c r="E116" s="8"/>
      <c r="F116" s="8"/>
      <c r="G116" s="8"/>
      <c r="H116" s="8" t="str">
        <f>IF(G116="","",G116-TODAY())</f>
        <v/>
      </c>
      <c r="I116" s="8" t="str">
        <f>IF(H116="","",IF(H116&lt;0,"EXPIRED",IF(H116&lt;=30,"DUE SOON","VALID")))</f>
        <v/>
      </c>
      <c r="J116" s="8"/>
      <c r="K116" s="8" t="str">
        <f>IF(J116="SUSPENDED","SUSPENDED",IF(I116="","",I116))</f>
        <v/>
      </c>
      <c r="L116" s="8"/>
      <c r="M116" s="8"/>
      <c r="N116" s="8"/>
    </row>
    <row r="117" spans="8:8" ht="15.75" customHeight="1"/>
    <row r="118" spans="8:8" ht="15.75" customHeight="1">
      <c r="A118" t="s">
        <v>57</v>
      </c>
    </row>
    <row r="119" spans="8:8" ht="15.75" customHeight="1">
      <c r="A119" s="11" t="s">
        <v>58</v>
      </c>
    </row>
    <row r="120" spans="8:8" ht="15.75" customHeight="1"/>
    <row r="121" spans="8:8" ht="15.75" customHeight="1"/>
    <row r="122" spans="8:8" ht="15.75" customHeight="1"/>
    <row r="123" spans="8:8" ht="15.75" customHeight="1"/>
    <row r="124" spans="8:8" ht="15.75" customHeight="1"/>
    <row r="125" spans="8:8" ht="15.75" customHeight="1"/>
    <row r="126" spans="8:8" ht="15.75" customHeight="1"/>
    <row r="127" spans="8:8" ht="15.75" customHeight="1"/>
    <row r="128" spans="8:8" ht="15.75" customHeight="1"/>
    <row r="129" spans="8:8" ht="15.75" customHeight="1"/>
    <row r="130" spans="8:8" ht="15.75" customHeight="1"/>
    <row r="131" spans="8:8" ht="15.75" customHeight="1"/>
    <row r="132" spans="8:8" ht="15.75" customHeight="1"/>
    <row r="133" spans="8:8" ht="15.75" customHeight="1"/>
    <row r="134" spans="8:8" ht="15.75" customHeight="1"/>
    <row r="135" spans="8:8" ht="15.75" customHeight="1"/>
    <row r="136" spans="8:8" ht="15.75" customHeight="1"/>
    <row r="137" spans="8:8" ht="15.75" customHeight="1"/>
    <row r="138" spans="8:8" ht="15.75" customHeight="1"/>
    <row r="139" spans="8:8" ht="15.75" customHeight="1"/>
    <row r="140" spans="8:8" ht="15.75" customHeight="1"/>
    <row r="141" spans="8:8" ht="15.75" customHeight="1"/>
    <row r="142" spans="8:8" ht="15.75" customHeight="1"/>
    <row r="143" spans="8:8" ht="15.75" customHeight="1"/>
    <row r="144" spans="8:8" ht="15.75" customHeight="1"/>
    <row r="145" spans="8:8" ht="15.75" customHeight="1"/>
    <row r="146" spans="8:8" ht="15.75" customHeight="1"/>
    <row r="147" spans="8:8" ht="15.75" customHeight="1"/>
    <row r="148" spans="8:8" ht="15.75" customHeight="1"/>
    <row r="149" spans="8:8" ht="15.75" customHeight="1"/>
    <row r="150" spans="8:8" ht="15.75" customHeight="1"/>
    <row r="151" spans="8:8" ht="15.75" customHeight="1"/>
    <row r="152" spans="8:8" ht="15.75" customHeight="1"/>
    <row r="153" spans="8:8" ht="15.75" customHeight="1"/>
    <row r="154" spans="8:8" ht="15.75" customHeight="1"/>
    <row r="155" spans="8:8" ht="15.75" customHeight="1"/>
    <row r="156" spans="8:8" ht="15.75" customHeight="1"/>
    <row r="157" spans="8:8" ht="15.75" customHeight="1"/>
    <row r="158" spans="8:8" ht="15.75" customHeight="1"/>
    <row r="159" spans="8:8" ht="15.75" customHeight="1"/>
    <row r="160" spans="8:8" ht="15.75" customHeight="1"/>
    <row r="161" spans="8:8" ht="15.75" customHeight="1"/>
    <row r="162" spans="8:8" ht="15.75" customHeight="1"/>
    <row r="163" spans="8:8" ht="15.75" customHeight="1"/>
    <row r="164" spans="8:8" ht="15.75" customHeight="1"/>
    <row r="165" spans="8:8" ht="15.75" customHeight="1"/>
    <row r="166" spans="8:8" ht="15.75" customHeight="1"/>
    <row r="167" spans="8:8" ht="15.75" customHeight="1"/>
    <row r="168" spans="8:8" ht="15.75" customHeight="1"/>
    <row r="169" spans="8:8" ht="15.75" customHeight="1"/>
    <row r="170" spans="8:8" ht="15.75" customHeight="1"/>
    <row r="171" spans="8:8" ht="15.75" customHeight="1"/>
    <row r="172" spans="8:8" ht="15.75" customHeight="1"/>
    <row r="173" spans="8:8" ht="15.75" customHeight="1"/>
    <row r="174" spans="8:8" ht="15.75" customHeight="1"/>
    <row r="175" spans="8:8" ht="15.75" customHeight="1"/>
    <row r="176" spans="8:8" ht="15.75" customHeight="1"/>
    <row r="177" spans="8:8" ht="15.75" customHeight="1"/>
    <row r="178" spans="8:8" ht="15.75" customHeight="1"/>
    <row r="179" spans="8:8" ht="15.75" customHeight="1"/>
    <row r="180" spans="8:8" ht="15.75" customHeight="1"/>
    <row r="181" spans="8:8" ht="15.75" customHeight="1"/>
    <row r="182" spans="8:8" ht="15.75" customHeight="1"/>
    <row r="183" spans="8:8" ht="15.75" customHeight="1"/>
    <row r="184" spans="8:8" ht="15.75" customHeight="1"/>
    <row r="185" spans="8:8" ht="15.75" customHeight="1"/>
    <row r="186" spans="8:8" ht="15.75" customHeight="1"/>
    <row r="187" spans="8:8" ht="15.75" customHeight="1"/>
    <row r="188" spans="8:8" ht="15.75" customHeight="1"/>
    <row r="189" spans="8:8" ht="15.75" customHeight="1"/>
    <row r="190" spans="8:8" ht="15.75" customHeight="1"/>
    <row r="191" spans="8:8" ht="15.75" customHeight="1"/>
    <row r="192" spans="8:8" ht="15.75" customHeight="1"/>
    <row r="193" spans="8:8" ht="15.75" customHeight="1"/>
    <row r="194" spans="8:8" ht="15.75" customHeight="1"/>
    <row r="195" spans="8:8" ht="15.75" customHeight="1"/>
    <row r="196" spans="8:8" ht="15.75" customHeight="1"/>
    <row r="197" spans="8:8" ht="15.75" customHeight="1"/>
    <row r="198" spans="8:8" ht="15.75" customHeight="1"/>
    <row r="199" spans="8:8" ht="15.75" customHeight="1"/>
    <row r="200" spans="8:8" ht="15.75" customHeight="1"/>
    <row r="201" spans="8:8" ht="15.75" customHeight="1"/>
    <row r="202" spans="8:8" ht="15.75" customHeight="1"/>
    <row r="203" spans="8:8" ht="15.75" customHeight="1"/>
    <row r="204" spans="8:8" ht="15.75" customHeight="1"/>
    <row r="205" spans="8:8" ht="15.75" customHeight="1"/>
    <row r="206" spans="8:8" ht="15.75" customHeight="1"/>
    <row r="207" spans="8:8" ht="15.75" customHeight="1"/>
    <row r="208" spans="8:8" ht="15.75" customHeight="1"/>
    <row r="209" spans="8:8" ht="15.75" customHeight="1"/>
    <row r="210" spans="8:8" ht="15.75" customHeight="1"/>
    <row r="211" spans="8:8" ht="15.75" customHeight="1"/>
    <row r="212" spans="8:8" ht="15.75" customHeight="1"/>
    <row r="213" spans="8:8" ht="15.75" customHeight="1"/>
    <row r="214" spans="8:8" ht="15.75" customHeight="1"/>
    <row r="215" spans="8:8" ht="15.75" customHeight="1"/>
    <row r="216" spans="8:8" ht="15.75" customHeight="1"/>
    <row r="217" spans="8:8" ht="15.75" customHeight="1"/>
    <row r="218" spans="8:8" ht="15.75" customHeight="1"/>
    <row r="219" spans="8:8" ht="15.75" customHeight="1"/>
    <row r="220" spans="8:8" ht="15.75" customHeight="1"/>
    <row r="221" spans="8:8" ht="15.75" customHeight="1"/>
    <row r="222" spans="8:8" ht="15.75" customHeight="1"/>
    <row r="223" spans="8:8" ht="15.75" customHeight="1"/>
    <row r="224" spans="8:8" ht="15.75" customHeight="1"/>
    <row r="225" spans="8:8" ht="15.75" customHeight="1"/>
    <row r="226" spans="8:8" ht="15.75" customHeight="1"/>
    <row r="227" spans="8:8" ht="15.75" customHeight="1"/>
    <row r="228" spans="8:8" ht="15.75" customHeight="1"/>
    <row r="229" spans="8:8" ht="15.75" customHeight="1"/>
    <row r="230" spans="8:8" ht="15.75" customHeight="1"/>
    <row r="231" spans="8:8" ht="15.75" customHeight="1"/>
    <row r="232" spans="8:8" ht="15.75" customHeight="1"/>
    <row r="233" spans="8:8" ht="15.75" customHeight="1"/>
    <row r="234" spans="8:8" ht="15.75" customHeight="1"/>
    <row r="235" spans="8:8" ht="15.75" customHeight="1"/>
    <row r="236" spans="8:8" ht="15.75" customHeight="1"/>
    <row r="237" spans="8:8" ht="15.75" customHeight="1"/>
    <row r="238" spans="8:8" ht="15.75" customHeight="1"/>
    <row r="239" spans="8:8" ht="15.75" customHeight="1"/>
    <row r="240" spans="8:8" ht="15.75" customHeight="1"/>
    <row r="241" spans="8:8" ht="15.75" customHeight="1"/>
    <row r="242" spans="8:8" ht="15.75" customHeight="1"/>
    <row r="243" spans="8:8" ht="15.75" customHeight="1"/>
    <row r="244" spans="8:8" ht="15.75" customHeight="1"/>
    <row r="245" spans="8:8" ht="15.75" customHeight="1"/>
    <row r="246" spans="8:8" ht="15.75" customHeight="1"/>
    <row r="247" spans="8:8" ht="15.75" customHeight="1"/>
    <row r="248" spans="8:8" ht="15.75" customHeight="1"/>
    <row r="249" spans="8:8" ht="15.75" customHeight="1"/>
    <row r="250" spans="8:8" ht="15.75" customHeight="1"/>
    <row r="251" spans="8:8" ht="15.75" customHeight="1"/>
    <row r="252" spans="8:8" ht="15.75" customHeight="1"/>
    <row r="253" spans="8:8" ht="15.75" customHeight="1"/>
    <row r="254" spans="8:8" ht="15.75" customHeight="1"/>
    <row r="255" spans="8:8" ht="15.75" customHeight="1"/>
    <row r="256" spans="8:8" ht="15.75" customHeight="1"/>
    <row r="257" spans="8:8" ht="15.75" customHeight="1"/>
    <row r="258" spans="8:8" ht="15.75" customHeight="1"/>
    <row r="259" spans="8:8" ht="15.75" customHeight="1"/>
    <row r="260" spans="8:8" ht="15.75" customHeight="1"/>
    <row r="261" spans="8:8" ht="15.75" customHeight="1"/>
    <row r="262" spans="8:8" ht="15.75" customHeight="1"/>
    <row r="263" spans="8:8" ht="15.75" customHeight="1"/>
    <row r="264" spans="8:8" ht="15.75" customHeight="1"/>
    <row r="265" spans="8:8" ht="15.75" customHeight="1"/>
    <row r="266" spans="8:8" ht="15.75" customHeight="1"/>
    <row r="267" spans="8:8" ht="15.75" customHeight="1"/>
    <row r="268" spans="8:8" ht="15.75" customHeight="1"/>
    <row r="269" spans="8:8" ht="15.75" customHeight="1"/>
    <row r="270" spans="8:8" ht="15.75" customHeight="1"/>
    <row r="271" spans="8:8" ht="15.75" customHeight="1"/>
    <row r="272" spans="8:8" ht="15.75" customHeight="1"/>
    <row r="273" spans="8:8" ht="15.75" customHeight="1"/>
    <row r="274" spans="8:8" ht="15.75" customHeight="1"/>
    <row r="275" spans="8:8" ht="15.75" customHeight="1"/>
    <row r="276" spans="8:8" ht="15.75" customHeight="1"/>
    <row r="277" spans="8:8" ht="15.75" customHeight="1"/>
    <row r="278" spans="8:8" ht="15.75" customHeight="1"/>
    <row r="279" spans="8:8" ht="15.75" customHeight="1"/>
    <row r="280" spans="8:8" ht="15.75" customHeight="1"/>
    <row r="281" spans="8:8" ht="15.75" customHeight="1"/>
    <row r="282" spans="8:8" ht="15.75" customHeight="1"/>
    <row r="283" spans="8:8" ht="15.75" customHeight="1"/>
    <row r="284" spans="8:8" ht="15.75" customHeight="1"/>
    <row r="285" spans="8:8" ht="15.75" customHeight="1"/>
    <row r="286" spans="8:8" ht="15.75" customHeight="1"/>
    <row r="287" spans="8:8" ht="15.75" customHeight="1"/>
    <row r="288" spans="8:8" ht="15.75" customHeight="1"/>
    <row r="289" spans="8:8" ht="15.75" customHeight="1"/>
    <row r="290" spans="8:8" ht="15.75" customHeight="1"/>
    <row r="291" spans="8:8" ht="15.75" customHeight="1"/>
    <row r="292" spans="8:8" ht="15.75" customHeight="1"/>
    <row r="293" spans="8:8" ht="15.75" customHeight="1"/>
    <row r="294" spans="8:8" ht="15.75" customHeight="1"/>
    <row r="295" spans="8:8" ht="15.75" customHeight="1"/>
    <row r="296" spans="8:8" ht="15.75" customHeight="1"/>
    <row r="297" spans="8:8" ht="15.75" customHeight="1"/>
    <row r="298" spans="8:8" ht="15.75" customHeight="1"/>
    <row r="299" spans="8:8" ht="15.75" customHeight="1"/>
    <row r="300" spans="8:8" ht="15.75" customHeight="1"/>
    <row r="301" spans="8:8" ht="15.75" customHeight="1"/>
    <row r="302" spans="8:8" ht="15.75" customHeight="1"/>
    <row r="303" spans="8:8" ht="15.75" customHeight="1"/>
    <row r="304" spans="8:8" ht="15.75" customHeight="1"/>
    <row r="305" spans="8:8" ht="15.75" customHeight="1"/>
    <row r="306" spans="8:8" ht="15.75" customHeight="1"/>
    <row r="307" spans="8:8" ht="15.75" customHeight="1"/>
    <row r="308" spans="8:8" ht="15.75" customHeight="1"/>
    <row r="309" spans="8:8" ht="15.75" customHeight="1"/>
    <row r="310" spans="8:8" ht="15.75" customHeight="1"/>
    <row r="311" spans="8:8" ht="15.75" customHeight="1"/>
    <row r="312" spans="8:8" ht="15.75" customHeight="1"/>
    <row r="313" spans="8:8" ht="15.75" customHeight="1"/>
    <row r="314" spans="8:8" ht="15.75" customHeight="1"/>
    <row r="315" spans="8:8" ht="15.75" customHeight="1"/>
    <row r="316" spans="8:8" ht="15.75" customHeight="1"/>
    <row r="317" spans="8:8" ht="15.75" customHeight="1"/>
    <row r="318" spans="8:8" ht="15.75" customHeight="1"/>
    <row r="319" spans="8:8" ht="15.75" customHeight="1"/>
    <row r="320" spans="8:8" ht="15.75" customHeight="1"/>
    <row r="321" spans="8:8" ht="15.75" customHeight="1"/>
    <row r="322" spans="8:8" ht="15.75" customHeight="1"/>
    <row r="323" spans="8:8" ht="15.75" customHeight="1"/>
    <row r="324" spans="8:8" ht="15.75" customHeight="1"/>
    <row r="325" spans="8:8" ht="15.75" customHeight="1"/>
    <row r="326" spans="8:8" ht="15.75" customHeight="1"/>
    <row r="327" spans="8:8" ht="15.75" customHeight="1"/>
    <row r="328" spans="8:8" ht="15.75" customHeight="1"/>
    <row r="329" spans="8:8" ht="15.75" customHeight="1"/>
    <row r="330" spans="8:8" ht="15.75" customHeight="1"/>
    <row r="331" spans="8:8" ht="15.75" customHeight="1"/>
    <row r="332" spans="8:8" ht="15.75" customHeight="1"/>
    <row r="333" spans="8:8" ht="15.75" customHeight="1"/>
    <row r="334" spans="8:8" ht="15.75" customHeight="1"/>
    <row r="335" spans="8:8" ht="15.75" customHeight="1"/>
    <row r="336" spans="8:8" ht="15.75" customHeight="1"/>
    <row r="337" spans="8:8" ht="15.75" customHeight="1"/>
    <row r="338" spans="8:8" ht="15.75" customHeight="1"/>
    <row r="339" spans="8:8" ht="15.75" customHeight="1"/>
    <row r="340" spans="8:8" ht="15.75" customHeight="1"/>
    <row r="341" spans="8:8" ht="15.75" customHeight="1"/>
    <row r="342" spans="8:8" ht="15.75" customHeight="1"/>
    <row r="343" spans="8:8" ht="15.75" customHeight="1"/>
    <row r="344" spans="8:8" ht="15.75" customHeight="1"/>
    <row r="345" spans="8:8" ht="15.75" customHeight="1"/>
    <row r="346" spans="8:8" ht="15.75" customHeight="1"/>
    <row r="347" spans="8:8" ht="15.75" customHeight="1"/>
    <row r="348" spans="8:8" ht="15.75" customHeight="1"/>
    <row r="349" spans="8:8" ht="15.75" customHeight="1"/>
    <row r="350" spans="8:8" ht="15.75" customHeight="1"/>
    <row r="351" spans="8:8" ht="15.75" customHeight="1"/>
    <row r="352" spans="8:8" ht="15.75" customHeight="1"/>
    <row r="353" spans="8:8" ht="15.75" customHeight="1"/>
    <row r="354" spans="8:8" ht="15.75" customHeight="1"/>
    <row r="355" spans="8:8" ht="15.75" customHeight="1"/>
    <row r="356" spans="8:8" ht="15.75" customHeight="1"/>
    <row r="357" spans="8:8" ht="15.75" customHeight="1"/>
    <row r="358" spans="8:8" ht="15.75" customHeight="1"/>
    <row r="359" spans="8:8" ht="15.75" customHeight="1"/>
    <row r="360" spans="8:8" ht="15.75" customHeight="1"/>
    <row r="361" spans="8:8" ht="15.75" customHeight="1"/>
    <row r="362" spans="8:8" ht="15.75" customHeight="1"/>
    <row r="363" spans="8:8" ht="15.75" customHeight="1"/>
    <row r="364" spans="8:8" ht="15.75" customHeight="1"/>
    <row r="365" spans="8:8" ht="15.75" customHeight="1"/>
    <row r="366" spans="8:8" ht="15.75" customHeight="1"/>
    <row r="367" spans="8:8" ht="15.75" customHeight="1"/>
    <row r="368" spans="8:8" ht="15.75" customHeight="1"/>
    <row r="369" spans="8:8" ht="15.75" customHeight="1"/>
    <row r="370" spans="8:8" ht="15.75" customHeight="1"/>
    <row r="371" spans="8:8" ht="15.75" customHeight="1"/>
    <row r="372" spans="8:8" ht="15.75" customHeight="1"/>
    <row r="373" spans="8:8" ht="15.75" customHeight="1"/>
    <row r="374" spans="8:8" ht="15.75" customHeight="1"/>
    <row r="375" spans="8:8" ht="15.75" customHeight="1"/>
    <row r="376" spans="8:8" ht="15.75" customHeight="1"/>
    <row r="377" spans="8:8" ht="15.75" customHeight="1"/>
    <row r="378" spans="8:8" ht="15.75" customHeight="1"/>
    <row r="379" spans="8:8" ht="15.75" customHeight="1"/>
    <row r="380" spans="8:8" ht="15.75" customHeight="1"/>
    <row r="381" spans="8:8" ht="15.75" customHeight="1"/>
    <row r="382" spans="8:8" ht="15.75" customHeight="1"/>
    <row r="383" spans="8:8" ht="15.75" customHeight="1"/>
    <row r="384" spans="8:8" ht="15.75" customHeight="1"/>
    <row r="385" spans="8:8" ht="15.75" customHeight="1"/>
    <row r="386" spans="8:8" ht="15.75" customHeight="1"/>
    <row r="387" spans="8:8" ht="15.75" customHeight="1"/>
    <row r="388" spans="8:8" ht="15.75" customHeight="1"/>
    <row r="389" spans="8:8" ht="15.75" customHeight="1"/>
    <row r="390" spans="8:8" ht="15.75" customHeight="1"/>
    <row r="391" spans="8:8" ht="15.75" customHeight="1"/>
    <row r="392" spans="8:8" ht="15.75" customHeight="1"/>
    <row r="393" spans="8:8" ht="15.75" customHeight="1"/>
    <row r="394" spans="8:8" ht="15.75" customHeight="1"/>
    <row r="395" spans="8:8" ht="15.75" customHeight="1"/>
    <row r="396" spans="8:8" ht="15.75" customHeight="1"/>
    <row r="397" spans="8:8" ht="15.75" customHeight="1"/>
    <row r="398" spans="8:8" ht="15.75" customHeight="1"/>
    <row r="399" spans="8:8" ht="15.75" customHeight="1"/>
    <row r="400" spans="8:8" ht="15.75" customHeight="1"/>
    <row r="401" spans="8:8" ht="15.75" customHeight="1"/>
    <row r="402" spans="8:8" ht="15.75" customHeight="1"/>
    <row r="403" spans="8:8" ht="15.75" customHeight="1"/>
    <row r="404" spans="8:8" ht="15.75" customHeight="1"/>
    <row r="405" spans="8:8" ht="15.75" customHeight="1"/>
    <row r="406" spans="8:8" ht="15.75" customHeight="1"/>
    <row r="407" spans="8:8" ht="15.75" customHeight="1"/>
    <row r="408" spans="8:8" ht="15.75" customHeight="1"/>
    <row r="409" spans="8:8" ht="15.75" customHeight="1"/>
    <row r="410" spans="8:8" ht="15.75" customHeight="1"/>
    <row r="411" spans="8:8" ht="15.75" customHeight="1"/>
    <row r="412" spans="8:8" ht="15.75" customHeight="1"/>
    <row r="413" spans="8:8" ht="15.75" customHeight="1"/>
    <row r="414" spans="8:8" ht="15.75" customHeight="1"/>
    <row r="415" spans="8:8" ht="15.75" customHeight="1"/>
    <row r="416" spans="8:8" ht="15.75" customHeight="1"/>
    <row r="417" spans="8:8" ht="15.75" customHeight="1"/>
    <row r="418" spans="8:8" ht="15.75" customHeight="1"/>
    <row r="419" spans="8:8" ht="15.75" customHeight="1"/>
    <row r="420" spans="8:8" ht="15.75" customHeight="1"/>
    <row r="421" spans="8:8" ht="15.75" customHeight="1"/>
    <row r="422" spans="8:8" ht="15.75" customHeight="1"/>
    <row r="423" spans="8:8" ht="15.75" customHeight="1"/>
    <row r="424" spans="8:8" ht="15.75" customHeight="1"/>
    <row r="425" spans="8:8" ht="15.75" customHeight="1"/>
    <row r="426" spans="8:8" ht="15.75" customHeight="1"/>
    <row r="427" spans="8:8" ht="15.75" customHeight="1"/>
    <row r="428" spans="8:8" ht="15.75" customHeight="1"/>
    <row r="429" spans="8:8" ht="15.75" customHeight="1"/>
    <row r="430" spans="8:8" ht="15.75" customHeight="1"/>
    <row r="431" spans="8:8" ht="15.75" customHeight="1"/>
    <row r="432" spans="8:8" ht="15.75" customHeight="1"/>
    <row r="433" spans="8:8" ht="15.75" customHeight="1"/>
    <row r="434" spans="8:8" ht="15.75" customHeight="1"/>
    <row r="435" spans="8:8" ht="15.75" customHeight="1"/>
    <row r="436" spans="8:8" ht="15.75" customHeight="1"/>
    <row r="437" spans="8:8" ht="15.75" customHeight="1"/>
    <row r="438" spans="8:8" ht="15.75" customHeight="1"/>
    <row r="439" spans="8:8" ht="15.75" customHeight="1"/>
    <row r="440" spans="8:8" ht="15.75" customHeight="1"/>
    <row r="441" spans="8:8" ht="15.75" customHeight="1"/>
    <row r="442" spans="8:8" ht="15.75" customHeight="1"/>
    <row r="443" spans="8:8" ht="15.75" customHeight="1"/>
    <row r="444" spans="8:8" ht="15.75" customHeight="1"/>
    <row r="445" spans="8:8" ht="15.75" customHeight="1"/>
    <row r="446" spans="8:8" ht="15.75" customHeight="1"/>
    <row r="447" spans="8:8" ht="15.75" customHeight="1"/>
    <row r="448" spans="8:8" ht="15.75" customHeight="1"/>
    <row r="449" spans="8:8" ht="15.75" customHeight="1"/>
    <row r="450" spans="8:8" ht="15.75" customHeight="1"/>
    <row r="451" spans="8:8" ht="15.75" customHeight="1"/>
    <row r="452" spans="8:8" ht="15.75" customHeight="1"/>
    <row r="453" spans="8:8" ht="15.75" customHeight="1"/>
    <row r="454" spans="8:8" ht="15.75" customHeight="1"/>
    <row r="455" spans="8:8" ht="15.75" customHeight="1"/>
    <row r="456" spans="8:8" ht="15.75" customHeight="1"/>
    <row r="457" spans="8:8" ht="15.75" customHeight="1"/>
    <row r="458" spans="8:8" ht="15.75" customHeight="1"/>
    <row r="459" spans="8:8" ht="15.75" customHeight="1"/>
    <row r="460" spans="8:8" ht="15.75" customHeight="1"/>
    <row r="461" spans="8:8" ht="15.75" customHeight="1"/>
    <row r="462" spans="8:8" ht="15.75" customHeight="1"/>
    <row r="463" spans="8:8" ht="15.75" customHeight="1"/>
    <row r="464" spans="8:8" ht="15.75" customHeight="1"/>
    <row r="465" spans="8:8" ht="15.75" customHeight="1"/>
    <row r="466" spans="8:8" ht="15.75" customHeight="1"/>
    <row r="467" spans="8:8" ht="15.75" customHeight="1"/>
    <row r="468" spans="8:8" ht="15.75" customHeight="1"/>
    <row r="469" spans="8:8" ht="15.75" customHeight="1"/>
    <row r="470" spans="8:8" ht="15.75" customHeight="1"/>
    <row r="471" spans="8:8" ht="15.75" customHeight="1"/>
    <row r="472" spans="8:8" ht="15.75" customHeight="1"/>
    <row r="473" spans="8:8" ht="15.75" customHeight="1"/>
    <row r="474" spans="8:8" ht="15.75" customHeight="1"/>
    <row r="475" spans="8:8" ht="15.75" customHeight="1"/>
    <row r="476" spans="8:8" ht="15.75" customHeight="1"/>
    <row r="477" spans="8:8" ht="15.75" customHeight="1"/>
    <row r="478" spans="8:8" ht="15.75" customHeight="1"/>
    <row r="479" spans="8:8" ht="15.75" customHeight="1"/>
    <row r="480" spans="8:8" ht="15.75" customHeight="1"/>
    <row r="481" spans="8:8" ht="15.75" customHeight="1"/>
    <row r="482" spans="8:8" ht="15.75" customHeight="1"/>
    <row r="483" spans="8:8" ht="15.75" customHeight="1"/>
    <row r="484" spans="8:8" ht="15.75" customHeight="1"/>
    <row r="485" spans="8:8" ht="15.75" customHeight="1"/>
    <row r="486" spans="8:8" ht="15.75" customHeight="1"/>
    <row r="487" spans="8:8" ht="15.75" customHeight="1"/>
    <row r="488" spans="8:8" ht="15.75" customHeight="1"/>
    <row r="489" spans="8:8" ht="15.75" customHeight="1"/>
    <row r="490" spans="8:8" ht="15.75" customHeight="1"/>
    <row r="491" spans="8:8" ht="15.75" customHeight="1"/>
    <row r="492" spans="8:8" ht="15.75" customHeight="1"/>
    <row r="493" spans="8:8" ht="15.75" customHeight="1"/>
    <row r="494" spans="8:8" ht="15.75" customHeight="1"/>
    <row r="495" spans="8:8" ht="15.75" customHeight="1"/>
    <row r="496" spans="8:8" ht="15.75" customHeight="1"/>
    <row r="497" spans="8:8" ht="15.75" customHeight="1"/>
    <row r="498" spans="8:8" ht="15.75" customHeight="1"/>
    <row r="499" spans="8:8" ht="15.75" customHeight="1"/>
    <row r="500" spans="8:8" ht="15.75" customHeight="1"/>
    <row r="501" spans="8:8" ht="15.75" customHeight="1"/>
    <row r="502" spans="8:8" ht="15.75" customHeight="1"/>
    <row r="503" spans="8:8" ht="15.75" customHeight="1"/>
    <row r="504" spans="8:8" ht="15.75" customHeight="1"/>
    <row r="505" spans="8:8" ht="15.75" customHeight="1"/>
    <row r="506" spans="8:8" ht="15.75" customHeight="1"/>
    <row r="507" spans="8:8" ht="15.75" customHeight="1"/>
    <row r="508" spans="8:8" ht="15.75" customHeight="1"/>
    <row r="509" spans="8:8" ht="15.75" customHeight="1"/>
    <row r="510" spans="8:8" ht="15.75" customHeight="1"/>
    <row r="511" spans="8:8" ht="15.75" customHeight="1"/>
    <row r="512" spans="8:8" ht="15.75" customHeight="1"/>
    <row r="513" spans="8:8" ht="15.75" customHeight="1"/>
    <row r="514" spans="8:8" ht="15.75" customHeight="1"/>
    <row r="515" spans="8:8" ht="15.75" customHeight="1"/>
    <row r="516" spans="8:8" ht="15.75" customHeight="1"/>
    <row r="517" spans="8:8" ht="15.75" customHeight="1"/>
    <row r="518" spans="8:8" ht="15.75" customHeight="1"/>
    <row r="519" spans="8:8" ht="15.75" customHeight="1"/>
    <row r="520" spans="8:8" ht="15.75" customHeight="1"/>
    <row r="521" spans="8:8" ht="15.75" customHeight="1"/>
    <row r="522" spans="8:8" ht="15.75" customHeight="1"/>
    <row r="523" spans="8:8" ht="15.75" customHeight="1"/>
    <row r="524" spans="8:8" ht="15.75" customHeight="1"/>
    <row r="525" spans="8:8" ht="15.75" customHeight="1"/>
    <row r="526" spans="8:8" ht="15.75" customHeight="1"/>
    <row r="527" spans="8:8" ht="15.75" customHeight="1"/>
    <row r="528" spans="8:8" ht="15.75" customHeight="1"/>
    <row r="529" spans="8:8" ht="15.75" customHeight="1"/>
    <row r="530" spans="8:8" ht="15.75" customHeight="1"/>
    <row r="531" spans="8:8" ht="15.75" customHeight="1"/>
    <row r="532" spans="8:8" ht="15.75" customHeight="1"/>
    <row r="533" spans="8:8" ht="15.75" customHeight="1"/>
    <row r="534" spans="8:8" ht="15.75" customHeight="1"/>
    <row r="535" spans="8:8" ht="15.75" customHeight="1"/>
    <row r="536" spans="8:8" ht="15.75" customHeight="1"/>
    <row r="537" spans="8:8" ht="15.75" customHeight="1"/>
    <row r="538" spans="8:8" ht="15.75" customHeight="1"/>
    <row r="539" spans="8:8" ht="15.75" customHeight="1"/>
    <row r="540" spans="8:8" ht="15.75" customHeight="1"/>
    <row r="541" spans="8:8" ht="15.75" customHeight="1"/>
    <row r="542" spans="8:8" ht="15.75" customHeight="1"/>
    <row r="543" spans="8:8" ht="15.75" customHeight="1"/>
    <row r="544" spans="8:8" ht="15.75" customHeight="1"/>
    <row r="545" spans="8:8" ht="15.75" customHeight="1"/>
    <row r="546" spans="8:8" ht="15.75" customHeight="1"/>
    <row r="547" spans="8:8" ht="15.75" customHeight="1"/>
    <row r="548" spans="8:8" ht="15.75" customHeight="1"/>
    <row r="549" spans="8:8" ht="15.75" customHeight="1"/>
    <row r="550" spans="8:8" ht="15.75" customHeight="1"/>
    <row r="551" spans="8:8" ht="15.75" customHeight="1"/>
    <row r="552" spans="8:8" ht="15.75" customHeight="1"/>
    <row r="553" spans="8:8" ht="15.75" customHeight="1"/>
    <row r="554" spans="8:8" ht="15.75" customHeight="1"/>
    <row r="555" spans="8:8" ht="15.75" customHeight="1"/>
    <row r="556" spans="8:8" ht="15.75" customHeight="1"/>
    <row r="557" spans="8:8" ht="15.75" customHeight="1"/>
    <row r="558" spans="8:8" ht="15.75" customHeight="1"/>
    <row r="559" spans="8:8" ht="15.75" customHeight="1"/>
    <row r="560" spans="8:8" ht="15.75" customHeight="1"/>
    <row r="561" spans="8:8" ht="15.75" customHeight="1"/>
    <row r="562" spans="8:8" ht="15.75" customHeight="1"/>
    <row r="563" spans="8:8" ht="15.75" customHeight="1"/>
    <row r="564" spans="8:8" ht="15.75" customHeight="1"/>
    <row r="565" spans="8:8" ht="15.75" customHeight="1"/>
    <row r="566" spans="8:8" ht="15.75" customHeight="1"/>
    <row r="567" spans="8:8" ht="15.75" customHeight="1"/>
    <row r="568" spans="8:8" ht="15.75" customHeight="1"/>
    <row r="569" spans="8:8" ht="15.75" customHeight="1"/>
    <row r="570" spans="8:8" ht="15.75" customHeight="1"/>
    <row r="571" spans="8:8" ht="15.75" customHeight="1"/>
    <row r="572" spans="8:8" ht="15.75" customHeight="1"/>
    <row r="573" spans="8:8" ht="15.75" customHeight="1"/>
    <row r="574" spans="8:8" ht="15.75" customHeight="1"/>
    <row r="575" spans="8:8" ht="15.75" customHeight="1"/>
    <row r="576" spans="8:8" ht="15.75" customHeight="1"/>
    <row r="577" spans="8:8" ht="15.75" customHeight="1"/>
    <row r="578" spans="8:8" ht="15.75" customHeight="1"/>
    <row r="579" spans="8:8" ht="15.75" customHeight="1"/>
    <row r="580" spans="8:8" ht="15.75" customHeight="1"/>
    <row r="581" spans="8:8" ht="15.75" customHeight="1"/>
    <row r="582" spans="8:8" ht="15.75" customHeight="1"/>
    <row r="583" spans="8:8" ht="15.75" customHeight="1"/>
    <row r="584" spans="8:8" ht="15.75" customHeight="1"/>
    <row r="585" spans="8:8" ht="15.75" customHeight="1"/>
    <row r="586" spans="8:8" ht="15.75" customHeight="1"/>
    <row r="587" spans="8:8" ht="15.75" customHeight="1"/>
    <row r="588" spans="8:8" ht="15.75" customHeight="1"/>
    <row r="589" spans="8:8" ht="15.75" customHeight="1"/>
    <row r="590" spans="8:8" ht="15.75" customHeight="1"/>
    <row r="591" spans="8:8" ht="15.75" customHeight="1"/>
    <row r="592" spans="8:8" ht="15.75" customHeight="1"/>
    <row r="593" spans="8:8" ht="15.75" customHeight="1"/>
    <row r="594" spans="8:8" ht="15.75" customHeight="1"/>
    <row r="595" spans="8:8" ht="15.75" customHeight="1"/>
    <row r="596" spans="8:8" ht="15.75" customHeight="1"/>
    <row r="597" spans="8:8" ht="15.75" customHeight="1"/>
    <row r="598" spans="8:8" ht="15.75" customHeight="1"/>
    <row r="599" spans="8:8" ht="15.75" customHeight="1"/>
    <row r="600" spans="8:8" ht="15.75" customHeight="1"/>
    <row r="601" spans="8:8" ht="15.75" customHeight="1"/>
    <row r="602" spans="8:8" ht="15.75" customHeight="1"/>
    <row r="603" spans="8:8" ht="15.75" customHeight="1"/>
    <row r="604" spans="8:8" ht="15.75" customHeight="1"/>
    <row r="605" spans="8:8" ht="15.75" customHeight="1"/>
    <row r="606" spans="8:8" ht="15.75" customHeight="1"/>
    <row r="607" spans="8:8" ht="15.75" customHeight="1"/>
    <row r="608" spans="8:8" ht="15.75" customHeight="1"/>
    <row r="609" spans="8:8" ht="15.75" customHeight="1"/>
    <row r="610" spans="8:8" ht="15.75" customHeight="1"/>
    <row r="611" spans="8:8" ht="15.75" customHeight="1"/>
    <row r="612" spans="8:8" ht="15.75" customHeight="1"/>
    <row r="613" spans="8:8" ht="15.75" customHeight="1"/>
    <row r="614" spans="8:8" ht="15.75" customHeight="1"/>
    <row r="615" spans="8:8" ht="15.75" customHeight="1"/>
    <row r="616" spans="8:8" ht="15.75" customHeight="1"/>
    <row r="617" spans="8:8" ht="15.75" customHeight="1"/>
    <row r="618" spans="8:8" ht="15.75" customHeight="1"/>
    <row r="619" spans="8:8" ht="15.75" customHeight="1"/>
    <row r="620" spans="8:8" ht="15.75" customHeight="1"/>
    <row r="621" spans="8:8" ht="15.75" customHeight="1"/>
    <row r="622" spans="8:8" ht="15.75" customHeight="1"/>
    <row r="623" spans="8:8" ht="15.75" customHeight="1"/>
    <row r="624" spans="8:8" ht="15.75" customHeight="1"/>
    <row r="625" spans="8:8" ht="15.75" customHeight="1"/>
    <row r="626" spans="8:8" ht="15.75" customHeight="1"/>
    <row r="627" spans="8:8" ht="15.75" customHeight="1"/>
    <row r="628" spans="8:8" ht="15.75" customHeight="1"/>
    <row r="629" spans="8:8" ht="15.75" customHeight="1"/>
    <row r="630" spans="8:8" ht="15.75" customHeight="1"/>
    <row r="631" spans="8:8" ht="15.75" customHeight="1"/>
    <row r="632" spans="8:8" ht="15.75" customHeight="1"/>
    <row r="633" spans="8:8" ht="15.75" customHeight="1"/>
    <row r="634" spans="8:8" ht="15.75" customHeight="1"/>
    <row r="635" spans="8:8" ht="15.75" customHeight="1"/>
    <row r="636" spans="8:8" ht="15.75" customHeight="1"/>
    <row r="637" spans="8:8" ht="15.75" customHeight="1"/>
    <row r="638" spans="8:8" ht="15.75" customHeight="1"/>
    <row r="639" spans="8:8" ht="15.75" customHeight="1"/>
    <row r="640" spans="8:8" ht="15.75" customHeight="1"/>
    <row r="641" spans="8:8" ht="15.75" customHeight="1"/>
    <row r="642" spans="8:8" ht="15.75" customHeight="1"/>
    <row r="643" spans="8:8" ht="15.75" customHeight="1"/>
    <row r="644" spans="8:8" ht="15.75" customHeight="1"/>
    <row r="645" spans="8:8" ht="15.75" customHeight="1"/>
    <row r="646" spans="8:8" ht="15.75" customHeight="1"/>
    <row r="647" spans="8:8" ht="15.75" customHeight="1"/>
    <row r="648" spans="8:8" ht="15.75" customHeight="1"/>
    <row r="649" spans="8:8" ht="15.75" customHeight="1"/>
    <row r="650" spans="8:8" ht="15.75" customHeight="1"/>
    <row r="651" spans="8:8" ht="15.75" customHeight="1"/>
    <row r="652" spans="8:8" ht="15.75" customHeight="1"/>
    <row r="653" spans="8:8" ht="15.75" customHeight="1"/>
    <row r="654" spans="8:8" ht="15.75" customHeight="1"/>
    <row r="655" spans="8:8" ht="15.75" customHeight="1"/>
    <row r="656" spans="8:8" ht="15.75" customHeight="1"/>
    <row r="657" spans="8:8" ht="15.75" customHeight="1"/>
    <row r="658" spans="8:8" ht="15.75" customHeight="1"/>
    <row r="659" spans="8:8" ht="15.75" customHeight="1"/>
    <row r="660" spans="8:8" ht="15.75" customHeight="1"/>
    <row r="661" spans="8:8" ht="15.75" customHeight="1"/>
    <row r="662" spans="8:8" ht="15.75" customHeight="1"/>
    <row r="663" spans="8:8" ht="15.75" customHeight="1"/>
    <row r="664" spans="8:8" ht="15.75" customHeight="1"/>
    <row r="665" spans="8:8" ht="15.75" customHeight="1"/>
    <row r="666" spans="8:8" ht="15.75" customHeight="1"/>
    <row r="667" spans="8:8" ht="15.75" customHeight="1"/>
    <row r="668" spans="8:8" ht="15.75" customHeight="1"/>
    <row r="669" spans="8:8" ht="15.75" customHeight="1"/>
    <row r="670" spans="8:8" ht="15.75" customHeight="1"/>
    <row r="671" spans="8:8" ht="15.75" customHeight="1"/>
    <row r="672" spans="8:8" ht="15.75" customHeight="1"/>
    <row r="673" spans="8:8" ht="15.75" customHeight="1"/>
    <row r="674" spans="8:8" ht="15.75" customHeight="1"/>
    <row r="675" spans="8:8" ht="15.75" customHeight="1"/>
    <row r="676" spans="8:8" ht="15.75" customHeight="1"/>
    <row r="677" spans="8:8" ht="15.75" customHeight="1"/>
    <row r="678" spans="8:8" ht="15.75" customHeight="1"/>
    <row r="679" spans="8:8" ht="15.75" customHeight="1"/>
    <row r="680" spans="8:8" ht="15.75" customHeight="1"/>
    <row r="681" spans="8:8" ht="15.75" customHeight="1"/>
    <row r="682" spans="8:8" ht="15.75" customHeight="1"/>
    <row r="683" spans="8:8" ht="15.75" customHeight="1"/>
    <row r="684" spans="8:8" ht="15.75" customHeight="1"/>
    <row r="685" spans="8:8" ht="15.75" customHeight="1"/>
    <row r="686" spans="8:8" ht="15.75" customHeight="1"/>
    <row r="687" spans="8:8" ht="15.75" customHeight="1"/>
    <row r="688" spans="8:8" ht="15.75" customHeight="1"/>
    <row r="689" spans="8:8" ht="15.75" customHeight="1"/>
    <row r="690" spans="8:8" ht="15.75" customHeight="1"/>
    <row r="691" spans="8:8" ht="15.75" customHeight="1"/>
    <row r="692" spans="8:8" ht="15.75" customHeight="1"/>
    <row r="693" spans="8:8" ht="15.75" customHeight="1"/>
    <row r="694" spans="8:8" ht="15.75" customHeight="1"/>
    <row r="695" spans="8:8" ht="15.75" customHeight="1"/>
    <row r="696" spans="8:8" ht="15.75" customHeight="1"/>
    <row r="697" spans="8:8" ht="15.75" customHeight="1"/>
    <row r="698" spans="8:8" ht="15.75" customHeight="1"/>
    <row r="699" spans="8:8" ht="15.75" customHeight="1"/>
    <row r="700" spans="8:8" ht="15.75" customHeight="1"/>
    <row r="701" spans="8:8" ht="15.75" customHeight="1"/>
    <row r="702" spans="8:8" ht="15.75" customHeight="1"/>
    <row r="703" spans="8:8" ht="15.75" customHeight="1"/>
    <row r="704" spans="8:8" ht="15.75" customHeight="1"/>
    <row r="705" spans="8:8" ht="15.75" customHeight="1"/>
    <row r="706" spans="8:8" ht="15.75" customHeight="1"/>
    <row r="707" spans="8:8" ht="15.75" customHeight="1"/>
    <row r="708" spans="8:8" ht="15.75" customHeight="1"/>
    <row r="709" spans="8:8" ht="15.75" customHeight="1"/>
    <row r="710" spans="8:8" ht="15.75" customHeight="1"/>
    <row r="711" spans="8:8" ht="15.75" customHeight="1"/>
    <row r="712" spans="8:8" ht="15.75" customHeight="1"/>
    <row r="713" spans="8:8" ht="15.75" customHeight="1"/>
    <row r="714" spans="8:8" ht="15.75" customHeight="1"/>
    <row r="715" spans="8:8" ht="15.75" customHeight="1"/>
    <row r="716" spans="8:8" ht="15.75" customHeight="1"/>
    <row r="717" spans="8:8" ht="15.75" customHeight="1"/>
    <row r="718" spans="8:8" ht="15.75" customHeight="1"/>
    <row r="719" spans="8:8" ht="15.75" customHeight="1"/>
    <row r="720" spans="8:8" ht="15.75" customHeight="1"/>
    <row r="721" spans="8:8" ht="15.75" customHeight="1"/>
    <row r="722" spans="8:8" ht="15.75" customHeight="1"/>
    <row r="723" spans="8:8" ht="15.75" customHeight="1"/>
    <row r="724" spans="8:8" ht="15.75" customHeight="1"/>
    <row r="725" spans="8:8" ht="15.75" customHeight="1"/>
    <row r="726" spans="8:8" ht="15.75" customHeight="1"/>
    <row r="727" spans="8:8" ht="15.75" customHeight="1"/>
    <row r="728" spans="8:8" ht="15.75" customHeight="1"/>
    <row r="729" spans="8:8" ht="15.75" customHeight="1"/>
    <row r="730" spans="8:8" ht="15.75" customHeight="1"/>
    <row r="731" spans="8:8" ht="15.75" customHeight="1"/>
    <row r="732" spans="8:8" ht="15.75" customHeight="1"/>
    <row r="733" spans="8:8" ht="15.75" customHeight="1"/>
    <row r="734" spans="8:8" ht="15.75" customHeight="1"/>
    <row r="735" spans="8:8" ht="15.75" customHeight="1"/>
    <row r="736" spans="8:8" ht="15.75" customHeight="1"/>
    <row r="737" spans="8:8" ht="15.75" customHeight="1"/>
    <row r="738" spans="8:8" ht="15.75" customHeight="1"/>
    <row r="739" spans="8:8" ht="15.75" customHeight="1"/>
    <row r="740" spans="8:8" ht="15.75" customHeight="1"/>
    <row r="741" spans="8:8" ht="15.75" customHeight="1"/>
    <row r="742" spans="8:8" ht="15.75" customHeight="1"/>
    <row r="743" spans="8:8" ht="15.75" customHeight="1"/>
    <row r="744" spans="8:8" ht="15.75" customHeight="1"/>
    <row r="745" spans="8:8" ht="15.75" customHeight="1"/>
    <row r="746" spans="8:8" ht="15.75" customHeight="1"/>
    <row r="747" spans="8:8" ht="15.75" customHeight="1"/>
    <row r="748" spans="8:8" ht="15.75" customHeight="1"/>
    <row r="749" spans="8:8" ht="15.75" customHeight="1"/>
    <row r="750" spans="8:8" ht="15.75" customHeight="1"/>
    <row r="751" spans="8:8" ht="15.75" customHeight="1"/>
    <row r="752" spans="8:8" ht="15.75" customHeight="1"/>
    <row r="753" spans="8:8" ht="15.75" customHeight="1"/>
    <row r="754" spans="8:8" ht="15.75" customHeight="1"/>
    <row r="755" spans="8:8" ht="15.75" customHeight="1"/>
    <row r="756" spans="8:8" ht="15.75" customHeight="1"/>
    <row r="757" spans="8:8" ht="15.75" customHeight="1"/>
    <row r="758" spans="8:8" ht="15.75" customHeight="1"/>
    <row r="759" spans="8:8" ht="15.75" customHeight="1"/>
    <row r="760" spans="8:8" ht="15.75" customHeight="1"/>
    <row r="761" spans="8:8" ht="15.75" customHeight="1"/>
    <row r="762" spans="8:8" ht="15.75" customHeight="1"/>
    <row r="763" spans="8:8" ht="15.75" customHeight="1"/>
    <row r="764" spans="8:8" ht="15.75" customHeight="1"/>
    <row r="765" spans="8:8" ht="15.75" customHeight="1"/>
    <row r="766" spans="8:8" ht="15.75" customHeight="1"/>
    <row r="767" spans="8:8" ht="15.75" customHeight="1"/>
    <row r="768" spans="8:8" ht="15.75" customHeight="1"/>
    <row r="769" spans="8:8" ht="15.75" customHeight="1"/>
    <row r="770" spans="8:8" ht="15.75" customHeight="1"/>
    <row r="771" spans="8:8" ht="15.75" customHeight="1"/>
    <row r="772" spans="8:8" ht="15.75" customHeight="1"/>
    <row r="773" spans="8:8" ht="15.75" customHeight="1"/>
    <row r="774" spans="8:8" ht="15.75" customHeight="1"/>
    <row r="775" spans="8:8" ht="15.75" customHeight="1"/>
    <row r="776" spans="8:8" ht="15.75" customHeight="1"/>
    <row r="777" spans="8:8" ht="15.75" customHeight="1"/>
    <row r="778" spans="8:8" ht="15.75" customHeight="1"/>
    <row r="779" spans="8:8" ht="15.75" customHeight="1"/>
    <row r="780" spans="8:8" ht="15.75" customHeight="1"/>
    <row r="781" spans="8:8" ht="15.75" customHeight="1"/>
    <row r="782" spans="8:8" ht="15.75" customHeight="1"/>
    <row r="783" spans="8:8" ht="15.75" customHeight="1"/>
    <row r="784" spans="8:8" ht="15.75" customHeight="1"/>
    <row r="785" spans="8:8" ht="15.75" customHeight="1"/>
    <row r="786" spans="8:8" ht="15.75" customHeight="1"/>
    <row r="787" spans="8:8" ht="15.75" customHeight="1"/>
    <row r="788" spans="8:8" ht="15.75" customHeight="1"/>
    <row r="789" spans="8:8" ht="15.75" customHeight="1"/>
    <row r="790" spans="8:8" ht="15.75" customHeight="1"/>
    <row r="791" spans="8:8" ht="15.75" customHeight="1"/>
    <row r="792" spans="8:8" ht="15.75" customHeight="1"/>
    <row r="793" spans="8:8" ht="15.75" customHeight="1"/>
    <row r="794" spans="8:8" ht="15.75" customHeight="1"/>
    <row r="795" spans="8:8" ht="15.75" customHeight="1"/>
    <row r="796" spans="8:8" ht="15.75" customHeight="1"/>
    <row r="797" spans="8:8" ht="15.75" customHeight="1"/>
    <row r="798" spans="8:8" ht="15.75" customHeight="1"/>
    <row r="799" spans="8:8" ht="15.75" customHeight="1"/>
    <row r="800" spans="8:8" ht="15.75" customHeight="1"/>
    <row r="801" spans="8:8" ht="15.75" customHeight="1"/>
    <row r="802" spans="8:8" ht="15.75" customHeight="1"/>
    <row r="803" spans="8:8" ht="15.75" customHeight="1"/>
    <row r="804" spans="8:8" ht="15.75" customHeight="1"/>
    <row r="805" spans="8:8" ht="15.75" customHeight="1"/>
    <row r="806" spans="8:8" ht="15.75" customHeight="1"/>
    <row r="807" spans="8:8" ht="15.75" customHeight="1"/>
    <row r="808" spans="8:8" ht="15.75" customHeight="1"/>
    <row r="809" spans="8:8" ht="15.75" customHeight="1"/>
    <row r="810" spans="8:8" ht="15.75" customHeight="1"/>
    <row r="811" spans="8:8" ht="15.75" customHeight="1"/>
    <row r="812" spans="8:8" ht="15.75" customHeight="1"/>
    <row r="813" spans="8:8" ht="15.75" customHeight="1"/>
    <row r="814" spans="8:8" ht="15.75" customHeight="1"/>
    <row r="815" spans="8:8" ht="15.75" customHeight="1"/>
    <row r="816" spans="8:8" ht="15.75" customHeight="1"/>
    <row r="817" spans="8:8" ht="15.75" customHeight="1"/>
    <row r="818" spans="8:8" ht="15.75" customHeight="1"/>
    <row r="819" spans="8:8" ht="15.75" customHeight="1"/>
    <row r="820" spans="8:8" ht="15.75" customHeight="1"/>
    <row r="821" spans="8:8" ht="15.75" customHeight="1"/>
    <row r="822" spans="8:8" ht="15.75" customHeight="1"/>
    <row r="823" spans="8:8" ht="15.75" customHeight="1"/>
    <row r="824" spans="8:8" ht="15.75" customHeight="1"/>
    <row r="825" spans="8:8" ht="15.75" customHeight="1"/>
    <row r="826" spans="8:8" ht="15.75" customHeight="1"/>
    <row r="827" spans="8:8" ht="15.75" customHeight="1"/>
    <row r="828" spans="8:8" ht="15.75" customHeight="1"/>
    <row r="829" spans="8:8" ht="15.75" customHeight="1"/>
    <row r="830" spans="8:8" ht="15.75" customHeight="1"/>
    <row r="831" spans="8:8" ht="15.75" customHeight="1"/>
    <row r="832" spans="8:8" ht="15.75" customHeight="1"/>
    <row r="833" spans="8:8" ht="15.75" customHeight="1"/>
    <row r="834" spans="8:8" ht="15.75" customHeight="1"/>
    <row r="835" spans="8:8" ht="15.75" customHeight="1"/>
    <row r="836" spans="8:8" ht="15.75" customHeight="1"/>
    <row r="837" spans="8:8" ht="15.75" customHeight="1"/>
    <row r="838" spans="8:8" ht="15.75" customHeight="1"/>
    <row r="839" spans="8:8" ht="15.75" customHeight="1"/>
    <row r="840" spans="8:8" ht="15.75" customHeight="1"/>
    <row r="841" spans="8:8" ht="15.75" customHeight="1"/>
    <row r="842" spans="8:8" ht="15.75" customHeight="1"/>
    <row r="843" spans="8:8" ht="15.75" customHeight="1"/>
    <row r="844" spans="8:8" ht="15.75" customHeight="1"/>
    <row r="845" spans="8:8" ht="15.75" customHeight="1"/>
    <row r="846" spans="8:8" ht="15.75" customHeight="1"/>
    <row r="847" spans="8:8" ht="15.75" customHeight="1"/>
    <row r="848" spans="8:8" ht="15.75" customHeight="1"/>
    <row r="849" spans="8:8" ht="15.75" customHeight="1"/>
    <row r="850" spans="8:8" ht="15.75" customHeight="1"/>
    <row r="851" spans="8:8" ht="15.75" customHeight="1"/>
    <row r="852" spans="8:8" ht="15.75" customHeight="1"/>
    <row r="853" spans="8:8" ht="15.75" customHeight="1"/>
    <row r="854" spans="8:8" ht="15.75" customHeight="1"/>
    <row r="855" spans="8:8" ht="15.75" customHeight="1"/>
    <row r="856" spans="8:8" ht="15.75" customHeight="1"/>
    <row r="857" spans="8:8" ht="15.75" customHeight="1"/>
    <row r="858" spans="8:8" ht="15.75" customHeight="1"/>
    <row r="859" spans="8:8" ht="15.75" customHeight="1"/>
    <row r="860" spans="8:8" ht="15.75" customHeight="1"/>
    <row r="861" spans="8:8" ht="15.75" customHeight="1"/>
    <row r="862" spans="8:8" ht="15.75" customHeight="1"/>
    <row r="863" spans="8:8" ht="15.75" customHeight="1"/>
    <row r="864" spans="8:8" ht="15.75" customHeight="1"/>
    <row r="865" spans="8:8" ht="15.75" customHeight="1"/>
    <row r="866" spans="8:8" ht="15.75" customHeight="1"/>
    <row r="867" spans="8:8" ht="15.75" customHeight="1"/>
    <row r="868" spans="8:8" ht="15.75" customHeight="1"/>
    <row r="869" spans="8:8" ht="15.75" customHeight="1"/>
    <row r="870" spans="8:8" ht="15.75" customHeight="1"/>
    <row r="871" spans="8:8" ht="15.75" customHeight="1"/>
    <row r="872" spans="8:8" ht="15.75" customHeight="1"/>
    <row r="873" spans="8:8" ht="15.75" customHeight="1"/>
    <row r="874" spans="8:8" ht="15.75" customHeight="1"/>
    <row r="875" spans="8:8" ht="15.75" customHeight="1"/>
    <row r="876" spans="8:8" ht="15.75" customHeight="1"/>
    <row r="877" spans="8:8" ht="15.75" customHeight="1"/>
    <row r="878" spans="8:8" ht="15.75" customHeight="1"/>
    <row r="879" spans="8:8" ht="15.75" customHeight="1"/>
    <row r="880" spans="8:8" ht="15.75" customHeight="1"/>
    <row r="881" spans="8:8" ht="15.75" customHeight="1"/>
    <row r="882" spans="8:8" ht="15.75" customHeight="1"/>
    <row r="883" spans="8:8" ht="15.75" customHeight="1"/>
    <row r="884" spans="8:8" ht="15.75" customHeight="1"/>
    <row r="885" spans="8:8" ht="15.75" customHeight="1"/>
    <row r="886" spans="8:8" ht="15.75" customHeight="1"/>
    <row r="887" spans="8:8" ht="15.75" customHeight="1"/>
    <row r="888" spans="8:8" ht="15.75" customHeight="1"/>
    <row r="889" spans="8:8" ht="15.75" customHeight="1"/>
    <row r="890" spans="8:8" ht="15.75" customHeight="1"/>
    <row r="891" spans="8:8" ht="15.75" customHeight="1"/>
    <row r="892" spans="8:8" ht="15.75" customHeight="1"/>
    <row r="893" spans="8:8" ht="15.75" customHeight="1"/>
    <row r="894" spans="8:8" ht="15.75" customHeight="1"/>
    <row r="895" spans="8:8" ht="15.75" customHeight="1"/>
    <row r="896" spans="8:8" ht="15.75" customHeight="1"/>
    <row r="897" spans="8:8" ht="15.75" customHeight="1"/>
    <row r="898" spans="8:8" ht="15.75" customHeight="1"/>
    <row r="899" spans="8:8" ht="15.75" customHeight="1"/>
    <row r="900" spans="8:8" ht="15.75" customHeight="1"/>
    <row r="901" spans="8:8" ht="15.75" customHeight="1"/>
    <row r="902" spans="8:8" ht="15.75" customHeight="1"/>
    <row r="903" spans="8:8" ht="15.75" customHeight="1"/>
    <row r="904" spans="8:8" ht="15.75" customHeight="1"/>
    <row r="905" spans="8:8" ht="15.75" customHeight="1"/>
    <row r="906" spans="8:8" ht="15.75" customHeight="1"/>
    <row r="907" spans="8:8" ht="15.75" customHeight="1"/>
    <row r="908" spans="8:8" ht="15.75" customHeight="1"/>
    <row r="909" spans="8:8" ht="15.75" customHeight="1"/>
    <row r="910" spans="8:8" ht="15.75" customHeight="1"/>
    <row r="911" spans="8:8" ht="15.75" customHeight="1"/>
    <row r="912" spans="8:8" ht="15.75" customHeight="1"/>
    <row r="913" spans="8:8" ht="15.75" customHeight="1"/>
    <row r="914" spans="8:8" ht="15.75" customHeight="1"/>
    <row r="915" spans="8:8" ht="15.75" customHeight="1"/>
    <row r="916" spans="8:8" ht="15.75" customHeight="1"/>
    <row r="917" spans="8:8" ht="15.75" customHeight="1"/>
    <row r="918" spans="8:8" ht="15.75" customHeight="1"/>
    <row r="919" spans="8:8" ht="15.75" customHeight="1"/>
    <row r="920" spans="8:8" ht="15.75" customHeight="1"/>
    <row r="921" spans="8:8" ht="15.75" customHeight="1"/>
    <row r="922" spans="8:8" ht="15.75" customHeight="1"/>
    <row r="923" spans="8:8" ht="15.75" customHeight="1"/>
    <row r="924" spans="8:8" ht="15.75" customHeight="1"/>
    <row r="925" spans="8:8" ht="15.75" customHeight="1"/>
    <row r="926" spans="8:8" ht="15.75" customHeight="1"/>
    <row r="927" spans="8:8" ht="15.75" customHeight="1"/>
    <row r="928" spans="8:8" ht="15.75" customHeight="1"/>
    <row r="929" spans="8:8" ht="15.75" customHeight="1"/>
    <row r="930" spans="8:8" ht="15.75" customHeight="1"/>
    <row r="931" spans="8:8" ht="15.75" customHeight="1"/>
    <row r="932" spans="8:8" ht="15.75" customHeight="1"/>
    <row r="933" spans="8:8" ht="15.75" customHeight="1"/>
    <row r="934" spans="8:8" ht="15.75" customHeight="1"/>
    <row r="935" spans="8:8" ht="15.75" customHeight="1"/>
    <row r="936" spans="8:8" ht="15.75" customHeight="1"/>
    <row r="937" spans="8:8" ht="15.75" customHeight="1"/>
    <row r="938" spans="8:8" ht="15.75" customHeight="1"/>
    <row r="939" spans="8:8" ht="15.75" customHeight="1"/>
    <row r="940" spans="8:8" ht="15.75" customHeight="1"/>
    <row r="941" spans="8:8" ht="15.75" customHeight="1"/>
    <row r="942" spans="8:8" ht="15.75" customHeight="1"/>
    <row r="943" spans="8:8" ht="15.75" customHeight="1"/>
    <row r="944" spans="8:8" ht="15.75" customHeight="1"/>
    <row r="945" spans="8:8" ht="15.75" customHeight="1"/>
    <row r="946" spans="8:8" ht="15.75" customHeight="1"/>
    <row r="947" spans="8:8" ht="15.75" customHeight="1"/>
    <row r="948" spans="8:8" ht="15.75" customHeight="1"/>
    <row r="949" spans="8:8" ht="15.75" customHeight="1"/>
    <row r="950" spans="8:8" ht="15.75" customHeight="1"/>
    <row r="951" spans="8:8" ht="15.75" customHeight="1"/>
    <row r="952" spans="8:8" ht="15.75" customHeight="1"/>
    <row r="953" spans="8:8" ht="15.75" customHeight="1"/>
    <row r="954" spans="8:8" ht="15.75" customHeight="1"/>
    <row r="955" spans="8:8" ht="15.75" customHeight="1"/>
    <row r="956" spans="8:8" ht="15.75" customHeight="1"/>
    <row r="957" spans="8:8" ht="15.75" customHeight="1"/>
    <row r="958" spans="8:8" ht="15.75" customHeight="1"/>
    <row r="959" spans="8:8" ht="15.75" customHeight="1"/>
    <row r="960" spans="8:8" ht="15.75" customHeight="1"/>
    <row r="961" spans="8:8" ht="15.75" customHeight="1"/>
    <row r="962" spans="8:8" ht="15.75" customHeight="1"/>
    <row r="963" spans="8:8" ht="15.75" customHeight="1"/>
    <row r="964" spans="8:8" ht="15.75" customHeight="1"/>
    <row r="965" spans="8:8" ht="15.75" customHeight="1"/>
    <row r="966" spans="8:8" ht="15.75" customHeight="1"/>
    <row r="967" spans="8:8" ht="15.75" customHeight="1"/>
    <row r="968" spans="8:8" ht="15.75" customHeight="1"/>
    <row r="969" spans="8:8" ht="15.75" customHeight="1"/>
    <row r="970" spans="8:8" ht="15.75" customHeight="1"/>
    <row r="971" spans="8:8" ht="15.75" customHeight="1"/>
    <row r="972" spans="8:8" ht="15.75" customHeight="1"/>
    <row r="973" spans="8:8" ht="15.75" customHeight="1"/>
    <row r="974" spans="8:8" ht="15.75" customHeight="1"/>
    <row r="975" spans="8:8" ht="15.75" customHeight="1"/>
    <row r="976" spans="8:8" ht="15.75" customHeight="1"/>
    <row r="977" spans="8:8" ht="15.75" customHeight="1"/>
    <row r="978" spans="8:8" ht="15.75" customHeight="1"/>
    <row r="979" spans="8:8" ht="15.75" customHeight="1"/>
    <row r="980" spans="8:8" ht="15.75" customHeight="1"/>
    <row r="981" spans="8:8" ht="15.75" customHeight="1"/>
    <row r="982" spans="8:8" ht="15.75" customHeight="1"/>
    <row r="983" spans="8:8" ht="15.75" customHeight="1"/>
    <row r="984" spans="8:8" ht="15.75" customHeight="1"/>
    <row r="985" spans="8:8" ht="15.75" customHeight="1"/>
    <row r="986" spans="8:8" ht="15.75" customHeight="1"/>
    <row r="987" spans="8:8" ht="15.75" customHeight="1"/>
    <row r="988" spans="8:8" ht="15.75" customHeight="1"/>
    <row r="989" spans="8:8" ht="15.75" customHeight="1"/>
    <row r="990" spans="8:8" ht="15.75" customHeight="1"/>
    <row r="991" spans="8:8" ht="15.75" customHeight="1"/>
    <row r="992" spans="8:8" ht="15.75" customHeight="1"/>
    <row r="993" spans="8:8" ht="15.75" customHeight="1"/>
    <row r="994" spans="8:8" ht="15.75" customHeight="1"/>
    <row r="995" spans="8:8" ht="15.75" customHeight="1"/>
    <row r="996" spans="8:8" ht="15.75" customHeight="1"/>
    <row r="997" spans="8:8" ht="15.75" customHeight="1"/>
    <row r="998" spans="8:8" ht="15.75" customHeight="1"/>
    <row r="999" spans="8:8" ht="15.75" customHeight="1"/>
    <row r="1000" spans="8:8" ht="15.75" customHeight="1"/>
    <row r="1001" spans="8:8" ht="15.75" customHeight="1"/>
    <row r="1002" spans="8:8" ht="15.75" customHeight="1"/>
    <row r="1003" spans="8:8" ht="15.0" customHeight="1"/>
  </sheetData>
  <conditionalFormatting sqref="H17:H116">
    <cfRule type="cellIs" operator="between" priority="1" dxfId="0">
      <formula>0</formula>
      <formula>30</formula>
    </cfRule>
  </conditionalFormatting>
  <conditionalFormatting sqref="K17:K116">
    <cfRule type="cellIs" operator="equal" priority="3" dxfId="1">
      <formula>"DUE SOON"</formula>
    </cfRule>
    <cfRule type="cellIs" operator="equal" priority="2" dxfId="2">
      <formula>"VALID"</formula>
    </cfRule>
    <cfRule type="cellIs" operator="equal" priority="4" dxfId="3">
      <formula>"EXPIRED"</formula>
    </cfRule>
    <cfRule type="cellIs" operator="equal" priority="5" dxfId="4">
      <formula>"SUSPENDED"</formula>
    </cfRule>
  </conditionalFormatting>
  <dataValidations count="1">
    <dataValidation allowBlank="1" type="list" errorStyle="stop" showErrorMessage="1" sqref="J17:J116">
      <formula1>"ACTIVE,SUSPENDED,UNDER REVIEW"</formula1>
    </dataValidation>
  </dataValidations>
  <pageMargins left="0.7" right="0.7" top="0.75" bottom="0.75" header="0.0" footer="0.0"/>
  <pageSetup paperSize="9" fitToWidth="0" fitToHeight="0" orientation="landscape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SM-A536E</dc:creator>
  <dcterms:created xsi:type="dcterms:W3CDTF">2026-02-24T04:56:01Z</dcterms:created>
  <dcterms:modified xsi:type="dcterms:W3CDTF">2026-02-25T21:05:36Z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aa35774beb474ff7840e96a2a33d063a</vt:lpwstr>
  </property>
</Properties>
</file>